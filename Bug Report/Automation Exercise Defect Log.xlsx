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gmcm\OneDrive\Desktop\QA Portfolio\Qa-Portfolio\Bug Report\"/>
    </mc:Choice>
  </mc:AlternateContent>
  <xr:revisionPtr revIDLastSave="0" documentId="13_ncr:1_{F86EDEA3-F114-4090-8194-970EA094FDC4}" xr6:coauthVersionLast="47" xr6:coauthVersionMax="47" xr10:uidLastSave="{00000000-0000-0000-0000-000000000000}"/>
  <bookViews>
    <workbookView xWindow="5130" yWindow="2970" windowWidth="28800" windowHeight="15370" xr2:uid="{950A3755-BD06-4699-808C-29ABC2B08016}"/>
  </bookViews>
  <sheets>
    <sheet name="Bug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5" i="1" l="1"/>
  <c r="G5" i="1"/>
  <c r="D5" i="1"/>
  <c r="A5" i="1"/>
</calcChain>
</file>

<file path=xl/sharedStrings.xml><?xml version="1.0" encoding="utf-8"?>
<sst xmlns="http://schemas.openxmlformats.org/spreadsheetml/2006/main" count="62" uniqueCount="53">
  <si>
    <t>Project: Automation Exercise Ecommerce Website QA Testing | Record one independently reproducible defect per row</t>
  </si>
  <si>
    <t>Total Defects</t>
  </si>
  <si>
    <t>Open</t>
  </si>
  <si>
    <t>High/Critical</t>
  </si>
  <si>
    <t>Ready for Retest</t>
  </si>
  <si>
    <t>Related Test Case</t>
  </si>
  <si>
    <t>Module</t>
  </si>
  <si>
    <t>Defect Type</t>
  </si>
  <si>
    <t>Summary / Title</t>
  </si>
  <si>
    <t>Severity</t>
  </si>
  <si>
    <t>Priority</t>
  </si>
  <si>
    <t>Environment</t>
  </si>
  <si>
    <t>Preconditions</t>
  </si>
  <si>
    <t>Steps to Reproduce</t>
  </si>
  <si>
    <t>Expected Result</t>
  </si>
  <si>
    <t>Actual Result</t>
  </si>
  <si>
    <t>Status</t>
  </si>
  <si>
    <t>Reported By</t>
  </si>
  <si>
    <t>Date Reported</t>
  </si>
  <si>
    <t>Evidence / Screenshot</t>
  </si>
  <si>
    <t>Assigned To</t>
  </si>
  <si>
    <t>Resolution / Developer Notes</t>
  </si>
  <si>
    <t>Retest Status</t>
  </si>
  <si>
    <t>Retest Date</t>
  </si>
  <si>
    <t>QA Notes</t>
  </si>
  <si>
    <t>AE-BUG-001</t>
  </si>
  <si>
    <t>AE-LOGOUT-001</t>
  </si>
  <si>
    <t>Logout</t>
  </si>
  <si>
    <t>Session / Navigation</t>
  </si>
  <si>
    <t>Authenticated user information remains visible after logout when navigating back</t>
  </si>
  <si>
    <t>Medium</t>
  </si>
  <si>
    <t>High</t>
  </si>
  <si>
    <t>Web application
Browser/OS: Record during execution
URL: https://automationexercise.com</t>
  </si>
  <si>
    <t>1. Active registered test account exists.
2. User begins logged out.</t>
  </si>
  <si>
    <t>1. Open Automation Exercise.
2. Click Signup / Login.
3. Enter valid registered credentials.
4. Click Login.
5. Confirm “Logged in as [username]” is displayed.
6. Click Logout.
7. Click the browser Back button.
8. Observe the page.
9. Refresh the page and attempt to open an authenticated feature to verify whether access persists.</t>
  </si>
  <si>
    <t>After logout, browser navigation should not display authenticated user information or provide access to authenticated functionality.</t>
  </si>
  <si>
    <t>After logout, clicking the browser Back button displayed the previous page with “Logged in as Kevin Tester” and the Logout option. Further verification is required to determine whether the page was cached or the authenticated session remained active.</t>
  </si>
  <si>
    <t>Add a redacted screenshot showing the stale authenticated interface.</t>
  </si>
  <si>
    <t>Not Retested</t>
  </si>
  <si>
    <t>AE-BUG-002</t>
  </si>
  <si>
    <t>Error Handling / Information Disclosure</t>
  </si>
  <si>
    <t>Repeated logout request causes an unhandled KeyError and exposes internal debugging information</t>
  </si>
  <si>
    <t>Web application
Django 3.2.8 shown in response
Python 3.7.17 shown in response
URL: https://automationexercise.com/logout</t>
  </si>
  <si>
    <t>1. Open Automation Exercise.
2. Click Signup / Login.
3. Enter valid registered credentials.
4. Click Login.
5. Click Logout.
6. Click the browser Back button.
7. Click Logout again.</t>
  </si>
  <si>
    <t>The application should safely handle the repeated logout request and redirect the unauthenticated user to Signup / Login without displaying an error or internal information.</t>
  </si>
  <si>
    <t>The application displayed “KeyError at /logout” because the user_id session key was missing. A Django debug page exposed framework and Python versions, server paths, traceback details, cookies, and session-related information.</t>
  </si>
  <si>
    <t>Add only a sanitized screenshot. Redact all cookie, session, username, token, and path values.</t>
  </si>
  <si>
    <t>Security-relevant information disclosure. The original screenshot must not be published without extensive redaction.</t>
  </si>
  <si>
    <t>Automation Exercise Defect Reports</t>
  </si>
  <si>
    <t>Defect IDA7:J17A1A7:A7:P17</t>
  </si>
  <si>
    <t>Notes:</t>
  </si>
  <si>
    <t>KM</t>
  </si>
  <si>
    <t>Potential cached page behavior. Confirm session state by refreshing and accessing a protected feature before final severity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</si>
</sst>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Aptos Narrow"/>
      <family val="2"/>
      <scheme val="minor"/>
    </font>
    <font>
      <b/>
      <sz val="18"/>
      <color rgb="FFFFFFFF"/>
      <name val="Carlito"/>
    </font>
    <font>
      <i/>
      <sz val="10"/>
      <color rgb="FF1F2937"/>
      <name val="Carlito"/>
    </font>
    <font>
      <b/>
      <sz val="10"/>
      <color rgb="FF17365D"/>
      <name val="Carlito"/>
    </font>
    <font>
      <i/>
      <sz val="10"/>
      <color rgb="FF7F6000"/>
      <name val="Carlito"/>
    </font>
    <font>
      <b/>
      <sz val="15"/>
      <color rgb="FF17365D"/>
      <name val="Carlito"/>
    </font>
    <font>
      <b/>
      <sz val="10"/>
      <color rgb="FFFFFFFF"/>
      <name val="Carlito"/>
    </font>
    <font>
      <sz val="10"/>
      <color rgb="FF1F2937"/>
      <name val="Carlito"/>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rgb="FFF4F6F8"/>
      </patternFill>
    </fill>
    <fill>
      <patternFill patternType="solid">
        <fgColor rgb="FFFFF2CC"/>
      </patternFill>
    </fill>
    <fill>
      <patternFill patternType="solid">
        <fgColor rgb="FF2F75B5"/>
      </patternFill>
    </fill>
  </fills>
  <borders count="12">
    <border>
      <left/>
      <right/>
      <top/>
      <bottom/>
      <diagonal/>
    </border>
    <border>
      <left style="thin">
        <color rgb="FFC9D2DC"/>
      </left>
      <right/>
      <top style="thin">
        <color rgb="FFC9D2DC"/>
      </top>
      <bottom/>
      <diagonal/>
    </border>
    <border>
      <left/>
      <right style="thin">
        <color rgb="FFC9D2DC"/>
      </right>
      <top style="thin">
        <color rgb="FFC9D2DC"/>
      </top>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C9D2DC"/>
      </left>
      <right/>
      <top/>
      <bottom style="thin">
        <color rgb="FFC9D2DC"/>
      </bottom>
      <diagonal/>
    </border>
    <border>
      <left/>
      <right style="thin">
        <color rgb="FFC9D2DC"/>
      </right>
      <top/>
      <bottom style="thin">
        <color rgb="FFC9D2DC"/>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4" fillId="5" borderId="5" xfId="0"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7" fillId="0" borderId="0" xfId="0" applyFont="1" applyAlignment="1">
      <alignment horizontal="center" vertical="top" wrapText="1"/>
    </xf>
    <xf numFmtId="0" fontId="7" fillId="0" borderId="0" xfId="0" applyFont="1" applyAlignment="1">
      <alignment vertical="top" wrapText="1"/>
    </xf>
    <xf numFmtId="164" fontId="7" fillId="0" borderId="0" xfId="0" applyNumberFormat="1" applyFont="1" applyAlignment="1">
      <alignment horizontal="center" vertical="top" wrapText="1"/>
    </xf>
    <xf numFmtId="164" fontId="0" fillId="0" borderId="0" xfId="0" applyNumberFormat="1"/>
    <xf numFmtId="0" fontId="6" fillId="6" borderId="11" xfId="0" applyFont="1" applyFill="1" applyBorder="1" applyAlignment="1">
      <alignment horizontal="center" vertical="center" wrapText="1"/>
    </xf>
    <xf numFmtId="0" fontId="7" fillId="0" borderId="11" xfId="0" applyFont="1" applyBorder="1" applyAlignment="1">
      <alignment horizontal="center" vertical="top" wrapText="1"/>
    </xf>
    <xf numFmtId="0" fontId="7" fillId="0" borderId="11" xfId="0" applyFont="1" applyBorder="1" applyAlignment="1">
      <alignment vertical="top" wrapText="1"/>
    </xf>
    <xf numFmtId="164" fontId="7" fillId="0" borderId="11" xfId="0" applyNumberFormat="1" applyFont="1" applyBorder="1" applyAlignment="1">
      <alignment horizontal="center" vertical="top" wrapText="1"/>
    </xf>
  </cellXfs>
  <cellStyles count="1">
    <cellStyle name="Normal" xfId="0" builtinId="0"/>
  </cellStyles>
  <dxfs count="9">
    <dxf>
      <font>
        <color rgb="FF595959"/>
      </font>
      <fill>
        <patternFill patternType="solid">
          <bgColor rgb="FFE7E6E6"/>
        </patternFill>
      </fill>
    </dxf>
    <dxf>
      <font>
        <b/>
        <color rgb="FF9C0006"/>
      </font>
      <fill>
        <patternFill patternType="solid">
          <bgColor rgb="FFFCE4D6"/>
        </patternFill>
      </fill>
    </dxf>
    <dxf>
      <font>
        <b/>
        <color rgb="FF375623"/>
      </font>
      <fill>
        <patternFill patternType="solid">
          <bgColor rgb="FFE2F0D9"/>
        </patternFill>
      </fill>
    </dxf>
    <dxf>
      <font>
        <b/>
        <color rgb="FF375623"/>
      </font>
      <fill>
        <patternFill patternType="solid">
          <bgColor rgb="FFE2F0D9"/>
        </patternFill>
      </fill>
    </dxf>
    <dxf>
      <font>
        <b/>
        <color rgb="FF7030A0"/>
      </font>
      <fill>
        <patternFill patternType="solid">
          <bgColor rgb="FFE4DFEC"/>
        </patternFill>
      </fill>
    </dxf>
    <dxf>
      <font>
        <b/>
        <color rgb="FF7F6000"/>
      </font>
      <fill>
        <patternFill patternType="solid">
          <bgColor rgb="FFFFF2CC"/>
        </patternFill>
      </fill>
    </dxf>
    <dxf>
      <font>
        <b/>
        <color rgb="FF9C0006"/>
      </font>
      <fill>
        <patternFill patternType="solid">
          <bgColor rgb="FFFCE4D6"/>
        </patternFill>
      </fill>
    </dxf>
    <dxf>
      <font>
        <b/>
        <color rgb="FF7F6000"/>
      </font>
      <fill>
        <patternFill patternType="solid">
          <bgColor rgb="FFFFF2CC"/>
        </patternFill>
      </fill>
    </dxf>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E8B93B-AFBB-44AB-AAC3-2B9574A40753}" name="DefectLog" displayName="DefectLog" ref="A7:U17">
  <autoFilter ref="A7:U17" xr:uid="{72E8B93B-AFBB-44AB-AAC3-2B9574A40753}"/>
  <tableColumns count="21">
    <tableColumn id="1" xr3:uid="{71F1E552-2E74-4134-85D0-AB7E0263326D}" name="Defect IDA7:J17A1A7:A7:P17"/>
    <tableColumn id="2" xr3:uid="{853B3365-A879-40E2-A137-6CF46A69CC18}" name="Related Test Case"/>
    <tableColumn id="3" xr3:uid="{7D950267-7224-412D-8C19-1DE8BFB50C82}" name="Module"/>
    <tableColumn id="4" xr3:uid="{FCF68196-7D88-4DA8-8855-C896B7BF31FB}" name="Defect Type"/>
    <tableColumn id="5" xr3:uid="{CADB6391-7C5F-41E8-85B0-04B2965FA9BF}" name="Summary / Title"/>
    <tableColumn id="6" xr3:uid="{E965F887-2F66-49E6-B493-6B2C6D28B9AE}" name="Severity"/>
    <tableColumn id="7" xr3:uid="{78E820A3-5A88-4F3F-B90D-68DBDEBA1552}" name="Priority"/>
    <tableColumn id="8" xr3:uid="{EEE4622F-1A0F-4B0B-A893-07583A834727}" name="Environment"/>
    <tableColumn id="9" xr3:uid="{8A135DE4-9FBA-4545-BCFC-6029BFDEEC1D}" name="Preconditions"/>
    <tableColumn id="10" xr3:uid="{5BA1D979-ECC0-45A8-A5BD-A88521900302}" name="Steps to Reproduce"/>
    <tableColumn id="11" xr3:uid="{4A3C428A-AF6D-44D4-AE4A-FDF6599A66AE}" name="Expected Result"/>
    <tableColumn id="12" xr3:uid="{6A5F0F6E-B986-42B2-8A74-2FA2BA42A82D}" name="Actual Result"/>
    <tableColumn id="13" xr3:uid="{573E3DB4-CAA9-4502-9CAE-0286118DBD28}" name="Status"/>
    <tableColumn id="14" xr3:uid="{89A809ED-7549-4F21-AB6E-3AA5C4C9A2DA}" name="Reported By"/>
    <tableColumn id="15" xr3:uid="{B4AF2D9D-29CB-4BB7-801E-BF3B40978C70}" name="Date Reported"/>
    <tableColumn id="16" xr3:uid="{6D2A19E2-E40A-4124-8E76-9A7FC10F52D1}" name="Evidence / Screenshot"/>
    <tableColumn id="17" xr3:uid="{22F15FB6-A6B3-42B8-9011-8542E707F411}" name="Assigned To"/>
    <tableColumn id="18" xr3:uid="{BB18FDF1-340D-484B-AE4A-139C6325E0DC}" name="Resolution / Developer Notes"/>
    <tableColumn id="19" xr3:uid="{D60DAB17-45E5-46B8-8C9E-7967CD8AE06E}" name="Retest Status"/>
    <tableColumn id="20" xr3:uid="{213082AE-535B-428A-AE50-93ED828A5372}" name="Retest Date"/>
    <tableColumn id="21" xr3:uid="{1ABD0935-DEC0-4566-9907-AF2DDECAC48D}" name="QA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6874-4665-4615-B0D9-47BB2889E6CD}">
  <dimension ref="A1:U107"/>
  <sheetViews>
    <sheetView tabSelected="1" zoomScale="70" zoomScaleNormal="70" workbookViewId="0">
      <selection activeCell="U8" sqref="U8"/>
    </sheetView>
  </sheetViews>
  <sheetFormatPr defaultRowHeight="14.5"/>
  <cols>
    <col min="1" max="1" width="17.453125" customWidth="1"/>
    <col min="2" max="2" width="19.6328125" customWidth="1"/>
    <col min="3" max="3" width="12.26953125" customWidth="1"/>
    <col min="4" max="4" width="21.54296875" customWidth="1"/>
    <col min="5" max="5" width="45.81640625" customWidth="1"/>
    <col min="6" max="7" width="13.08984375" customWidth="1"/>
    <col min="8" max="8" width="34.90625" customWidth="1"/>
    <col min="9" max="9" width="32.7265625" customWidth="1"/>
    <col min="10" max="10" width="52.36328125" customWidth="1"/>
    <col min="11" max="11" width="41.453125" customWidth="1"/>
    <col min="12" max="12" width="45.81640625" customWidth="1"/>
    <col min="13" max="13" width="8.1796875" customWidth="1"/>
    <col min="14" max="14" width="11" customWidth="1"/>
    <col min="15" max="15" width="17.453125" customWidth="1"/>
    <col min="16" max="16" width="34.90625" customWidth="1"/>
    <col min="17" max="17" width="11.81640625" customWidth="1"/>
    <col min="18" max="18" width="37.08984375" customWidth="1"/>
    <col min="19" max="19" width="15.7265625" customWidth="1"/>
    <col min="20" max="20" width="16.36328125" customWidth="1"/>
    <col min="21" max="21" width="41.453125" customWidth="1"/>
  </cols>
  <sheetData>
    <row r="1" spans="1:21" ht="34" customHeight="1">
      <c r="A1" s="1" t="s">
        <v>48</v>
      </c>
      <c r="B1" s="1"/>
      <c r="C1" s="1"/>
      <c r="D1" s="1"/>
      <c r="E1" s="1"/>
      <c r="F1" s="1"/>
      <c r="G1" s="1"/>
      <c r="H1" s="1"/>
      <c r="I1" s="1"/>
      <c r="J1" s="1"/>
      <c r="K1" s="1"/>
      <c r="L1" s="1"/>
      <c r="M1" s="1"/>
      <c r="N1" s="1"/>
      <c r="O1" s="1"/>
      <c r="P1" s="1"/>
      <c r="Q1" s="1"/>
      <c r="R1" s="1"/>
      <c r="S1" s="1"/>
      <c r="T1" s="1"/>
      <c r="U1" s="1"/>
    </row>
    <row r="2" spans="1:21" ht="23" customHeight="1">
      <c r="A2" s="2" t="s">
        <v>0</v>
      </c>
      <c r="B2" s="2"/>
      <c r="C2" s="2"/>
      <c r="D2" s="2"/>
      <c r="E2" s="2"/>
      <c r="F2" s="2"/>
      <c r="G2" s="2"/>
      <c r="H2" s="2"/>
      <c r="I2" s="2"/>
      <c r="J2" s="2"/>
      <c r="K2" s="2"/>
      <c r="L2" s="2"/>
      <c r="M2" s="2"/>
      <c r="N2" s="2"/>
      <c r="O2" s="2"/>
      <c r="P2" s="2"/>
      <c r="Q2" s="2"/>
      <c r="R2" s="2"/>
      <c r="S2" s="2"/>
      <c r="T2" s="2"/>
      <c r="U2" s="2"/>
    </row>
    <row r="4" spans="1:21">
      <c r="A4" s="3" t="s">
        <v>1</v>
      </c>
      <c r="B4" s="4"/>
      <c r="D4" s="3" t="s">
        <v>2</v>
      </c>
      <c r="E4" s="4"/>
      <c r="G4" s="3" t="s">
        <v>3</v>
      </c>
      <c r="H4" s="4"/>
      <c r="J4" s="3" t="s">
        <v>4</v>
      </c>
      <c r="K4" s="4"/>
      <c r="M4" s="5" t="s">
        <v>50</v>
      </c>
      <c r="N4" s="6"/>
      <c r="O4" s="6"/>
      <c r="P4" s="6"/>
      <c r="Q4" s="6"/>
      <c r="R4" s="6"/>
      <c r="S4" s="6"/>
      <c r="T4" s="6"/>
      <c r="U4" s="7"/>
    </row>
    <row r="5" spans="1:21" ht="19">
      <c r="A5" s="8">
        <f>COUNTA(A8:A107)</f>
        <v>2</v>
      </c>
      <c r="B5" s="9"/>
      <c r="D5" s="8">
        <f>COUNTIF(M8:M107,"Open")</f>
        <v>2</v>
      </c>
      <c r="E5" s="9"/>
      <c r="G5" s="8">
        <f>COUNTIF(F8:F107,"High")+COUNTIF(F8:F107,"Critical")</f>
        <v>1</v>
      </c>
      <c r="H5" s="9"/>
      <c r="J5" s="8">
        <f>COUNTIF(M8:M107,"Ready for Retest")</f>
        <v>0</v>
      </c>
      <c r="K5" s="9"/>
      <c r="M5" s="10"/>
      <c r="N5" s="11"/>
      <c r="O5" s="11"/>
      <c r="P5" s="11"/>
      <c r="Q5" s="11"/>
      <c r="R5" s="11"/>
      <c r="S5" s="11"/>
      <c r="T5" s="11"/>
      <c r="U5" s="12"/>
    </row>
    <row r="7" spans="1:21" ht="40" customHeight="1">
      <c r="A7" s="17" t="s">
        <v>49</v>
      </c>
      <c r="B7" s="17" t="s">
        <v>5</v>
      </c>
      <c r="C7" s="17" t="s">
        <v>6</v>
      </c>
      <c r="D7" s="17" t="s">
        <v>7</v>
      </c>
      <c r="E7" s="17" t="s">
        <v>8</v>
      </c>
      <c r="F7" s="17" t="s">
        <v>9</v>
      </c>
      <c r="G7" s="17" t="s">
        <v>10</v>
      </c>
      <c r="H7" s="17" t="s">
        <v>11</v>
      </c>
      <c r="I7" s="17" t="s">
        <v>12</v>
      </c>
      <c r="J7" s="17" t="s">
        <v>13</v>
      </c>
      <c r="K7" s="17" t="s">
        <v>14</v>
      </c>
      <c r="L7" s="17" t="s">
        <v>15</v>
      </c>
      <c r="M7" s="17" t="s">
        <v>16</v>
      </c>
      <c r="N7" s="17" t="s">
        <v>17</v>
      </c>
      <c r="O7" s="17" t="s">
        <v>18</v>
      </c>
      <c r="P7" s="17" t="s">
        <v>19</v>
      </c>
      <c r="Q7" s="17" t="s">
        <v>20</v>
      </c>
      <c r="R7" s="17" t="s">
        <v>21</v>
      </c>
      <c r="S7" s="17" t="s">
        <v>22</v>
      </c>
      <c r="T7" s="17" t="s">
        <v>23</v>
      </c>
      <c r="U7" s="17" t="s">
        <v>24</v>
      </c>
    </row>
    <row r="8" spans="1:21" ht="130.5" customHeight="1">
      <c r="A8" s="18" t="s">
        <v>25</v>
      </c>
      <c r="B8" s="18" t="s">
        <v>26</v>
      </c>
      <c r="C8" s="18" t="s">
        <v>27</v>
      </c>
      <c r="D8" s="18" t="s">
        <v>28</v>
      </c>
      <c r="E8" s="19" t="s">
        <v>29</v>
      </c>
      <c r="F8" s="18" t="s">
        <v>30</v>
      </c>
      <c r="G8" s="18" t="s">
        <v>31</v>
      </c>
      <c r="H8" s="19" t="s">
        <v>32</v>
      </c>
      <c r="I8" s="19" t="s">
        <v>33</v>
      </c>
      <c r="J8" s="19" t="s">
        <v>34</v>
      </c>
      <c r="K8" s="19" t="s">
        <v>35</v>
      </c>
      <c r="L8" s="19" t="s">
        <v>36</v>
      </c>
      <c r="M8" s="18" t="s">
        <v>2</v>
      </c>
      <c r="N8" s="18" t="s">
        <v>51</v>
      </c>
      <c r="O8" s="20">
        <v>46232</v>
      </c>
      <c r="P8" s="18" t="s">
        <v>37</v>
      </c>
      <c r="Q8" s="18"/>
      <c r="R8" s="18"/>
      <c r="S8" s="18" t="s">
        <v>38</v>
      </c>
      <c r="T8" s="20"/>
      <c r="U8" s="18" t="s">
        <v>52</v>
      </c>
    </row>
    <row r="9" spans="1:21" ht="93.5" customHeight="1">
      <c r="A9" s="18" t="s">
        <v>39</v>
      </c>
      <c r="B9" s="18" t="s">
        <v>26</v>
      </c>
      <c r="C9" s="18" t="s">
        <v>27</v>
      </c>
      <c r="D9" s="18" t="s">
        <v>40</v>
      </c>
      <c r="E9" s="19" t="s">
        <v>41</v>
      </c>
      <c r="F9" s="18" t="s">
        <v>31</v>
      </c>
      <c r="G9" s="18" t="s">
        <v>31</v>
      </c>
      <c r="H9" s="19" t="s">
        <v>42</v>
      </c>
      <c r="I9" s="19" t="s">
        <v>33</v>
      </c>
      <c r="J9" s="19" t="s">
        <v>43</v>
      </c>
      <c r="K9" s="19" t="s">
        <v>44</v>
      </c>
      <c r="L9" s="19" t="s">
        <v>45</v>
      </c>
      <c r="M9" s="18" t="s">
        <v>2</v>
      </c>
      <c r="N9" s="18" t="s">
        <v>51</v>
      </c>
      <c r="O9" s="20">
        <v>46232</v>
      </c>
      <c r="P9" s="18" t="s">
        <v>46</v>
      </c>
      <c r="Q9" s="18"/>
      <c r="R9" s="18"/>
      <c r="S9" s="18" t="s">
        <v>38</v>
      </c>
      <c r="T9" s="20"/>
      <c r="U9" s="18" t="s">
        <v>47</v>
      </c>
    </row>
    <row r="10" spans="1:21" ht="42" customHeight="1">
      <c r="A10" s="18"/>
      <c r="B10" s="18"/>
      <c r="C10" s="18"/>
      <c r="D10" s="18"/>
      <c r="E10" s="19"/>
      <c r="F10" s="18"/>
      <c r="G10" s="18"/>
      <c r="H10" s="19"/>
      <c r="I10" s="19"/>
      <c r="J10" s="19"/>
      <c r="K10" s="19"/>
      <c r="L10" s="19"/>
      <c r="M10" s="18"/>
      <c r="N10" s="18"/>
      <c r="O10" s="20"/>
      <c r="P10" s="18"/>
      <c r="Q10" s="18"/>
      <c r="R10" s="18"/>
      <c r="S10" s="18"/>
      <c r="T10" s="20"/>
      <c r="U10" s="18"/>
    </row>
    <row r="11" spans="1:21" ht="42" customHeight="1">
      <c r="A11" s="18"/>
      <c r="B11" s="18"/>
      <c r="C11" s="18"/>
      <c r="D11" s="18"/>
      <c r="E11" s="19"/>
      <c r="F11" s="18"/>
      <c r="G11" s="18"/>
      <c r="H11" s="19"/>
      <c r="I11" s="19"/>
      <c r="J11" s="19"/>
      <c r="K11" s="19"/>
      <c r="L11" s="19"/>
      <c r="M11" s="18"/>
      <c r="N11" s="18"/>
      <c r="O11" s="20"/>
      <c r="P11" s="18"/>
      <c r="Q11" s="18"/>
      <c r="R11" s="18"/>
      <c r="S11" s="18"/>
      <c r="T11" s="20"/>
      <c r="U11" s="18"/>
    </row>
    <row r="12" spans="1:21" ht="42" customHeight="1">
      <c r="A12" s="18"/>
      <c r="B12" s="18"/>
      <c r="C12" s="18"/>
      <c r="D12" s="18"/>
      <c r="E12" s="19"/>
      <c r="F12" s="18"/>
      <c r="G12" s="18"/>
      <c r="H12" s="19"/>
      <c r="I12" s="19"/>
      <c r="J12" s="19"/>
      <c r="K12" s="19"/>
      <c r="L12" s="19"/>
      <c r="M12" s="18"/>
      <c r="N12" s="18"/>
      <c r="O12" s="20"/>
      <c r="P12" s="18"/>
      <c r="Q12" s="18"/>
      <c r="R12" s="18"/>
      <c r="S12" s="18"/>
      <c r="T12" s="20"/>
      <c r="U12" s="18"/>
    </row>
    <row r="13" spans="1:21" ht="42" customHeight="1">
      <c r="A13" s="18"/>
      <c r="B13" s="18"/>
      <c r="C13" s="18"/>
      <c r="D13" s="18"/>
      <c r="E13" s="19"/>
      <c r="F13" s="18"/>
      <c r="G13" s="18"/>
      <c r="H13" s="19"/>
      <c r="I13" s="19"/>
      <c r="J13" s="19"/>
      <c r="K13" s="19"/>
      <c r="L13" s="19"/>
      <c r="M13" s="18"/>
      <c r="N13" s="18"/>
      <c r="O13" s="20"/>
      <c r="P13" s="18"/>
      <c r="Q13" s="18"/>
      <c r="R13" s="18"/>
      <c r="S13" s="18"/>
      <c r="T13" s="20"/>
      <c r="U13" s="18"/>
    </row>
    <row r="14" spans="1:21" ht="42" customHeight="1">
      <c r="A14" s="18"/>
      <c r="B14" s="18"/>
      <c r="C14" s="18"/>
      <c r="D14" s="18"/>
      <c r="E14" s="19"/>
      <c r="F14" s="18"/>
      <c r="G14" s="18"/>
      <c r="H14" s="19"/>
      <c r="I14" s="19"/>
      <c r="J14" s="19"/>
      <c r="K14" s="19"/>
      <c r="L14" s="19"/>
      <c r="M14" s="18"/>
      <c r="N14" s="18"/>
      <c r="O14" s="20"/>
      <c r="P14" s="18"/>
      <c r="Q14" s="18"/>
      <c r="R14" s="18"/>
      <c r="S14" s="18"/>
      <c r="T14" s="20"/>
      <c r="U14" s="18"/>
    </row>
    <row r="15" spans="1:21" ht="42" customHeight="1">
      <c r="A15" s="18"/>
      <c r="B15" s="18"/>
      <c r="C15" s="18"/>
      <c r="D15" s="18"/>
      <c r="E15" s="19"/>
      <c r="F15" s="18"/>
      <c r="G15" s="18"/>
      <c r="H15" s="19"/>
      <c r="I15" s="19"/>
      <c r="J15" s="19"/>
      <c r="K15" s="19"/>
      <c r="L15" s="19"/>
      <c r="M15" s="18"/>
      <c r="N15" s="18"/>
      <c r="O15" s="20"/>
      <c r="P15" s="18"/>
      <c r="Q15" s="18"/>
      <c r="R15" s="18"/>
      <c r="S15" s="18"/>
      <c r="T15" s="20"/>
      <c r="U15" s="18"/>
    </row>
    <row r="16" spans="1:21" ht="42" customHeight="1">
      <c r="A16" s="18"/>
      <c r="B16" s="18"/>
      <c r="C16" s="18"/>
      <c r="D16" s="18"/>
      <c r="E16" s="19"/>
      <c r="F16" s="18"/>
      <c r="G16" s="18"/>
      <c r="H16" s="19"/>
      <c r="I16" s="19"/>
      <c r="J16" s="19"/>
      <c r="K16" s="19"/>
      <c r="L16" s="19"/>
      <c r="M16" s="18"/>
      <c r="N16" s="18"/>
      <c r="O16" s="20"/>
      <c r="P16" s="18"/>
      <c r="Q16" s="18"/>
      <c r="R16" s="18"/>
      <c r="S16" s="18"/>
      <c r="T16" s="20"/>
      <c r="U16" s="18"/>
    </row>
    <row r="17" spans="1:21" ht="42" customHeight="1">
      <c r="A17" s="13"/>
      <c r="B17" s="13"/>
      <c r="C17" s="13"/>
      <c r="D17" s="13"/>
      <c r="E17" s="14"/>
      <c r="F17" s="13"/>
      <c r="G17" s="13"/>
      <c r="H17" s="14"/>
      <c r="I17" s="14"/>
      <c r="J17" s="14"/>
      <c r="K17" s="14"/>
      <c r="L17" s="14"/>
      <c r="M17" s="13"/>
      <c r="N17" s="13"/>
      <c r="O17" s="15"/>
      <c r="P17" s="13"/>
      <c r="Q17" s="13"/>
      <c r="R17" s="13"/>
      <c r="S17" s="13"/>
      <c r="T17" s="15"/>
      <c r="U17" s="13"/>
    </row>
    <row r="18" spans="1:21">
      <c r="O18" s="16"/>
      <c r="T18" s="16"/>
    </row>
    <row r="19" spans="1:21">
      <c r="O19" s="16"/>
      <c r="T19" s="16"/>
    </row>
    <row r="20" spans="1:21">
      <c r="O20" s="16"/>
      <c r="T20" s="16"/>
    </row>
    <row r="21" spans="1:21">
      <c r="O21" s="16"/>
      <c r="T21" s="16"/>
    </row>
    <row r="22" spans="1:21">
      <c r="O22" s="16"/>
      <c r="T22" s="16"/>
    </row>
    <row r="23" spans="1:21">
      <c r="O23" s="16"/>
      <c r="T23" s="16"/>
    </row>
    <row r="24" spans="1:21">
      <c r="O24" s="16"/>
      <c r="T24" s="16"/>
    </row>
    <row r="25" spans="1:21">
      <c r="O25" s="16"/>
      <c r="T25" s="16"/>
    </row>
    <row r="26" spans="1:21">
      <c r="O26" s="16"/>
      <c r="T26" s="16"/>
    </row>
    <row r="27" spans="1:21">
      <c r="O27" s="16"/>
      <c r="T27" s="16"/>
    </row>
    <row r="28" spans="1:21">
      <c r="O28" s="16"/>
      <c r="T28" s="16"/>
    </row>
    <row r="29" spans="1:21">
      <c r="O29" s="16"/>
      <c r="T29" s="16"/>
    </row>
    <row r="30" spans="1:21">
      <c r="O30" s="16"/>
      <c r="T30" s="16"/>
    </row>
    <row r="31" spans="1:21">
      <c r="O31" s="16"/>
      <c r="T31" s="16"/>
    </row>
    <row r="32" spans="1:21">
      <c r="O32" s="16"/>
      <c r="T32" s="16"/>
    </row>
    <row r="33" spans="15:20">
      <c r="O33" s="16"/>
      <c r="T33" s="16"/>
    </row>
    <row r="34" spans="15:20">
      <c r="O34" s="16"/>
      <c r="T34" s="16"/>
    </row>
    <row r="35" spans="15:20">
      <c r="O35" s="16"/>
      <c r="T35" s="16"/>
    </row>
    <row r="36" spans="15:20">
      <c r="O36" s="16"/>
      <c r="T36" s="16"/>
    </row>
    <row r="37" spans="15:20">
      <c r="O37" s="16"/>
      <c r="T37" s="16"/>
    </row>
    <row r="38" spans="15:20">
      <c r="O38" s="16"/>
      <c r="T38" s="16"/>
    </row>
    <row r="39" spans="15:20">
      <c r="O39" s="16"/>
      <c r="T39" s="16"/>
    </row>
    <row r="40" spans="15:20">
      <c r="O40" s="16"/>
      <c r="T40" s="16"/>
    </row>
    <row r="41" spans="15:20">
      <c r="O41" s="16"/>
      <c r="T41" s="16"/>
    </row>
    <row r="42" spans="15:20">
      <c r="O42" s="16"/>
      <c r="T42" s="16"/>
    </row>
    <row r="43" spans="15:20">
      <c r="O43" s="16"/>
      <c r="T43" s="16"/>
    </row>
    <row r="44" spans="15:20">
      <c r="O44" s="16"/>
      <c r="T44" s="16"/>
    </row>
    <row r="45" spans="15:20">
      <c r="O45" s="16"/>
      <c r="T45" s="16"/>
    </row>
    <row r="46" spans="15:20">
      <c r="O46" s="16"/>
      <c r="T46" s="16"/>
    </row>
    <row r="47" spans="15:20">
      <c r="O47" s="16"/>
      <c r="T47" s="16"/>
    </row>
    <row r="48" spans="15:20">
      <c r="O48" s="16"/>
      <c r="T48" s="16"/>
    </row>
    <row r="49" spans="15:20">
      <c r="O49" s="16"/>
      <c r="T49" s="16"/>
    </row>
    <row r="50" spans="15:20">
      <c r="O50" s="16"/>
      <c r="T50" s="16"/>
    </row>
    <row r="51" spans="15:20">
      <c r="O51" s="16"/>
      <c r="T51" s="16"/>
    </row>
    <row r="52" spans="15:20">
      <c r="O52" s="16"/>
      <c r="T52" s="16"/>
    </row>
    <row r="53" spans="15:20">
      <c r="O53" s="16"/>
      <c r="T53" s="16"/>
    </row>
    <row r="54" spans="15:20">
      <c r="O54" s="16"/>
      <c r="T54" s="16"/>
    </row>
    <row r="55" spans="15:20">
      <c r="O55" s="16"/>
      <c r="T55" s="16"/>
    </row>
    <row r="56" spans="15:20">
      <c r="O56" s="16"/>
      <c r="T56" s="16"/>
    </row>
    <row r="57" spans="15:20">
      <c r="O57" s="16"/>
      <c r="T57" s="16"/>
    </row>
    <row r="58" spans="15:20">
      <c r="O58" s="16"/>
      <c r="T58" s="16"/>
    </row>
    <row r="59" spans="15:20">
      <c r="O59" s="16"/>
      <c r="T59" s="16"/>
    </row>
    <row r="60" spans="15:20">
      <c r="O60" s="16"/>
      <c r="T60" s="16"/>
    </row>
    <row r="61" spans="15:20">
      <c r="O61" s="16"/>
      <c r="T61" s="16"/>
    </row>
    <row r="62" spans="15:20">
      <c r="O62" s="16"/>
      <c r="T62" s="16"/>
    </row>
    <row r="63" spans="15:20">
      <c r="O63" s="16"/>
      <c r="T63" s="16"/>
    </row>
    <row r="64" spans="15:20">
      <c r="O64" s="16"/>
      <c r="T64" s="16"/>
    </row>
    <row r="65" spans="15:20">
      <c r="O65" s="16"/>
      <c r="T65" s="16"/>
    </row>
    <row r="66" spans="15:20">
      <c r="O66" s="16"/>
      <c r="T66" s="16"/>
    </row>
    <row r="67" spans="15:20">
      <c r="O67" s="16"/>
      <c r="T67" s="16"/>
    </row>
    <row r="68" spans="15:20">
      <c r="O68" s="16"/>
      <c r="T68" s="16"/>
    </row>
    <row r="69" spans="15:20">
      <c r="O69" s="16"/>
      <c r="T69" s="16"/>
    </row>
    <row r="70" spans="15:20">
      <c r="O70" s="16"/>
      <c r="T70" s="16"/>
    </row>
    <row r="71" spans="15:20">
      <c r="O71" s="16"/>
      <c r="T71" s="16"/>
    </row>
    <row r="72" spans="15:20">
      <c r="O72" s="16"/>
      <c r="T72" s="16"/>
    </row>
    <row r="73" spans="15:20">
      <c r="O73" s="16"/>
      <c r="T73" s="16"/>
    </row>
    <row r="74" spans="15:20">
      <c r="O74" s="16"/>
      <c r="T74" s="16"/>
    </row>
    <row r="75" spans="15:20">
      <c r="O75" s="16"/>
      <c r="T75" s="16"/>
    </row>
    <row r="76" spans="15:20">
      <c r="O76" s="16"/>
      <c r="T76" s="16"/>
    </row>
    <row r="77" spans="15:20">
      <c r="O77" s="16"/>
      <c r="T77" s="16"/>
    </row>
    <row r="78" spans="15:20">
      <c r="O78" s="16"/>
      <c r="T78" s="16"/>
    </row>
    <row r="79" spans="15:20">
      <c r="O79" s="16"/>
      <c r="T79" s="16"/>
    </row>
    <row r="80" spans="15:20">
      <c r="O80" s="16"/>
      <c r="T80" s="16"/>
    </row>
    <row r="81" spans="15:20">
      <c r="O81" s="16"/>
      <c r="T81" s="16"/>
    </row>
    <row r="82" spans="15:20">
      <c r="O82" s="16"/>
      <c r="T82" s="16"/>
    </row>
    <row r="83" spans="15:20">
      <c r="O83" s="16"/>
      <c r="T83" s="16"/>
    </row>
    <row r="84" spans="15:20">
      <c r="O84" s="16"/>
      <c r="T84" s="16"/>
    </row>
    <row r="85" spans="15:20">
      <c r="O85" s="16"/>
      <c r="T85" s="16"/>
    </row>
    <row r="86" spans="15:20">
      <c r="O86" s="16"/>
      <c r="T86" s="16"/>
    </row>
    <row r="87" spans="15:20">
      <c r="O87" s="16"/>
      <c r="T87" s="16"/>
    </row>
    <row r="88" spans="15:20">
      <c r="O88" s="16"/>
      <c r="T88" s="16"/>
    </row>
    <row r="89" spans="15:20">
      <c r="O89" s="16"/>
      <c r="T89" s="16"/>
    </row>
    <row r="90" spans="15:20">
      <c r="O90" s="16"/>
      <c r="T90" s="16"/>
    </row>
    <row r="91" spans="15:20">
      <c r="O91" s="16"/>
      <c r="T91" s="16"/>
    </row>
    <row r="92" spans="15:20">
      <c r="O92" s="16"/>
      <c r="T92" s="16"/>
    </row>
    <row r="93" spans="15:20">
      <c r="O93" s="16"/>
      <c r="T93" s="16"/>
    </row>
    <row r="94" spans="15:20">
      <c r="O94" s="16"/>
      <c r="T94" s="16"/>
    </row>
    <row r="95" spans="15:20">
      <c r="O95" s="16"/>
      <c r="T95" s="16"/>
    </row>
    <row r="96" spans="15:20">
      <c r="O96" s="16"/>
      <c r="T96" s="16"/>
    </row>
    <row r="97" spans="15:20">
      <c r="O97" s="16"/>
      <c r="T97" s="16"/>
    </row>
    <row r="98" spans="15:20">
      <c r="O98" s="16"/>
      <c r="T98" s="16"/>
    </row>
    <row r="99" spans="15:20">
      <c r="O99" s="16"/>
      <c r="T99" s="16"/>
    </row>
    <row r="100" spans="15:20">
      <c r="O100" s="16"/>
      <c r="T100" s="16"/>
    </row>
    <row r="101" spans="15:20">
      <c r="O101" s="16"/>
      <c r="T101" s="16"/>
    </row>
    <row r="102" spans="15:20">
      <c r="O102" s="16"/>
      <c r="T102" s="16"/>
    </row>
    <row r="103" spans="15:20">
      <c r="O103" s="16"/>
      <c r="T103" s="16"/>
    </row>
    <row r="104" spans="15:20">
      <c r="O104" s="16"/>
      <c r="T104" s="16"/>
    </row>
    <row r="105" spans="15:20">
      <c r="O105" s="16"/>
      <c r="T105" s="16"/>
    </row>
    <row r="106" spans="15:20">
      <c r="O106" s="16"/>
      <c r="T106" s="16"/>
    </row>
    <row r="107" spans="15:20">
      <c r="O107" s="16"/>
      <c r="T107" s="16"/>
    </row>
  </sheetData>
  <mergeCells count="11">
    <mergeCell ref="J5:K5"/>
    <mergeCell ref="A1:U1"/>
    <mergeCell ref="A2:U2"/>
    <mergeCell ref="A4:B4"/>
    <mergeCell ref="D4:E4"/>
    <mergeCell ref="G4:H4"/>
    <mergeCell ref="J4:K4"/>
    <mergeCell ref="M4:U5"/>
    <mergeCell ref="A5:B5"/>
    <mergeCell ref="D5:E5"/>
    <mergeCell ref="G5:H5"/>
  </mergeCells>
  <conditionalFormatting sqref="F8:G107">
    <cfRule type="containsText" dxfId="8" priority="1" operator="containsText" text="Critical"/>
    <cfRule type="containsText" dxfId="7" priority="2" operator="containsText" text="High"/>
  </conditionalFormatting>
  <conditionalFormatting sqref="M8:M107">
    <cfRule type="containsText" dxfId="6" priority="3" operator="containsText" text="Open"/>
    <cfRule type="containsText" dxfId="5" priority="4" operator="containsText" text="In Progress"/>
    <cfRule type="containsText" dxfId="4" priority="5" operator="containsText" text="Ready for Retest"/>
    <cfRule type="containsText" dxfId="3" priority="6" operator="containsText" text="Closed"/>
  </conditionalFormatting>
  <conditionalFormatting sqref="S8:S107">
    <cfRule type="containsText" dxfId="2" priority="7" operator="containsText" text="Pass"/>
    <cfRule type="containsText" dxfId="1" priority="8" operator="containsText" text="Fail"/>
    <cfRule type="containsText" dxfId="0" priority="9" operator="containsText" text="Not Retested"/>
  </conditionalFormatting>
  <dataValidations count="5">
    <dataValidation type="list" sqref="S8:S107" xr:uid="{285366EE-0383-4ECF-AF60-BFA7FE11B678}">
      <formula1>"Not Retested,Pass,Fail,Blocked"</formula1>
    </dataValidation>
    <dataValidation type="list" sqref="M8:M107" xr:uid="{BBB38952-246E-4ABF-A378-DC9F999E8E6B}">
      <formula1>"Open,In Progress,Resolved,Ready for Retest,Closed,Rejected,Deferred,Duplicate"</formula1>
    </dataValidation>
    <dataValidation type="list" sqref="F8:G107" xr:uid="{9975D9DE-3FF0-49C3-8240-A0EDA31122CB}">
      <formula1>"Critical,High,Medium,Low"</formula1>
    </dataValidation>
    <dataValidation type="list" sqref="D8:D107" xr:uid="{20609973-F954-420B-A272-D9DA30F7C1CD}">
      <formula1>"Functional,Validation,Session / Navigation,Error Handling,Security / Information Disclosure,Usability,Data Integrity,Performance"</formula1>
    </dataValidation>
    <dataValidation type="list" sqref="C8:C107" xr:uid="{009EC8DC-924F-45F0-8799-8E0DEEBB0305}">
      <formula1>"Signup,Login,Logout,Account Management"</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McMahon</dc:creator>
  <cp:lastModifiedBy>Kevin McMahon</cp:lastModifiedBy>
  <dcterms:created xsi:type="dcterms:W3CDTF">2026-07-30T01:57:48Z</dcterms:created>
  <dcterms:modified xsi:type="dcterms:W3CDTF">2026-07-30T02:03:04Z</dcterms:modified>
</cp:coreProperties>
</file>