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0c6d064f46b4bd3" /></Relationships>
</file>

<file path=xl/workbook.xml><?xml version="1.0" encoding="utf-8"?>
<x:workbook xmlns:x="http://schemas.openxmlformats.org/spreadsheetml/2006/main">
  <x:sheets>
    <x:sheet xmlns:r="http://schemas.openxmlformats.org/officeDocument/2006/relationships" name="Overview" sheetId="1" r:id="R96409dd7441f4b4c"/>
    <x:sheet xmlns:r="http://schemas.openxmlformats.org/officeDocument/2006/relationships" name="RTM" sheetId="2" r:id="R71f1c132b4304545"/>
    <x:sheet xmlns:r="http://schemas.openxmlformats.org/officeDocument/2006/relationships" name="Source Scenarios" sheetId="3" r:id="Rb0ce1c6fb47e4ec2"/>
    <x:sheet xmlns:r="http://schemas.openxmlformats.org/officeDocument/2006/relationships" name="Source APIs" sheetId="4" r:id="Re03b49eba46b48f5"/>
  </x:sheets>
</x:workbook>
</file>

<file path=xl/sharedStrings.xml><?xml version="1.0" encoding="utf-8"?>
<x:sst xmlns:x="http://schemas.openxmlformats.org/spreadsheetml/2006/main">
  <x:si>
    <x:t xml:space="preserve">Automation Exercise | Requirements Traceability Matrix</x:t>
  </x:si>
  <x:si>
    <x:t xml:space="preserve">Cross-reference of 26 official UI scenarios, 14 official API scenarios, and 4 tester-derived requirements against the current 21-case manual UI test repository</x:t>
  </x:si>
  <x:si>
    <x:t xml:space="preserve">Total Requirements</x:t>
  </x:si>
  <x:si>
    <x:t xml:space="preserve">Fully Covered</x:t>
  </x:si>
  <x:si>
    <x:t xml:space="preserve">Partially Covered</x:t>
  </x:si>
  <x:si>
    <x:t xml:space="preserve">Not Covered</x:t>
  </x:si>
  <x:si>
    <x:t xml:space="preserve">Coverage Status</x:t>
  </x:si>
  <x:si>
    <x:t xml:space="preserve">Count</x:t>
  </x:si>
  <x:si>
    <x:t xml:space="preserve">UI Scenarios</x:t>
  </x:si>
  <x:si>
    <x:t xml:space="preserve">API Scenarios</x:t>
  </x:si>
  <x:si>
    <x:t xml:space="preserve">Tester-Derived</x:t>
  </x:si>
  <x:si>
    <x:t xml:space="preserve">Execution Status</x:t>
  </x:si>
  <x:si>
    <x:t xml:space="preserve">Defect-Linked</x:t>
  </x:si>
  <x:si>
    <x:t xml:space="preserve">Notes</x:t>
  </x:si>
  <x:si>
    <x:t xml:space="preserve">Pass</x:t>
  </x:si>
  <x:si>
    <x:t xml:space="preserve">Mapped requirements whose linked tests passed</x:t>
  </x:si>
  <x:si>
    <x:t xml:space="preserve">Fail</x:t>
  </x:si>
  <x:si>
    <x:t xml:space="preserve">Mapped requirements whose linked tests failed</x:t>
  </x:si>
  <x:si>
    <x:t xml:space="preserve">Not Run</x:t>
  </x:si>
  <x:si>
    <x:t xml:space="preserve">Requirements without executed coverage</x:t>
  </x:si>
  <x:si>
    <x:t xml:space="preserve">Coverage Assessment</x:t>
  </x:si>
  <x:si>
    <x:t xml:space="preserve">Requirements Traceability Matrix</x:t>
  </x:si>
  <x:si>
    <x:t xml:space="preserve">Coverage is synchronized with the 21-case manual test repository and current defect log. Source scenario wording and exact steps are preserved on the Source Scenarios worksheet.</x:t>
  </x:si>
  <x:si>
    <x:t xml:space="preserve">Coverage rule: Fully Covered means every material behavior in the requirement is mapped to one or more existing test cases. Partially Covered means some, but not all material behavior is mapped. Not Covered means no existing case verifies the requirement.</x:t>
  </x:si>
  <x:si>
    <x:t xml:space="preserve">Requirement ID</x:t>
  </x:si>
  <x:si>
    <x:t xml:space="preserve">Requirement Source</x:t>
  </x:si>
  <x:si>
    <x:t xml:space="preserve">Source Scenario ID</x:t>
  </x:si>
  <x:si>
    <x:t xml:space="preserve">Feature</x:t>
  </x:si>
  <x:si>
    <x:t xml:space="preserve">Requirement / Scenario</x:t>
  </x:si>
  <x:si>
    <x:t xml:space="preserve">Mapped Test Case ID(s)</x:t>
  </x:si>
  <x:si>
    <x:t xml:space="preserve">Coverage Rationale</x:t>
  </x:si>
  <x:si>
    <x:t xml:space="preserve">Test Type</x:t>
  </x:si>
  <x:si>
    <x:t xml:space="preserve">Priority</x:t>
  </x:si>
  <x:si>
    <x:t xml:space="preserve">Defect ID(s)</x:t>
  </x:si>
  <x:si>
    <x:t xml:space="preserve">Gap / Recommended Action</x:t>
  </x:si>
  <x:si>
    <x:t xml:space="preserve">REQ-AUTH-001</x:t>
  </x:si>
  <x:si>
    <x:t xml:space="preserve">Site Scenario</x:t>
  </x:si>
  <x:si>
    <x:t xml:space="preserve">SRC-TC-01</x:t>
  </x:si>
  <x:si>
    <x:t xml:space="preserve">Registration</x:t>
  </x:si>
  <x:si>
    <x:t xml:space="preserve">Register User</x:t>
  </x:si>
  <x:si>
    <x:t xml:space="preserve">AE-SIGNUP-001
AE-SIGNUP-002
AE-ACCOUNT-001</x:t>
  </x:si>
  <x:si>
    <x:t xml:space="preserve">Registration and deletion are covered, but the complete continuous workflow and optional newsletter/partner selections are not documented.</x:t>
  </x:si>
  <x:si>
    <x:t xml:space="preserve">Functional — Positive</x:t>
  </x:si>
  <x:si>
    <x:t xml:space="preserve">Critical</x:t>
  </x:si>
  <x:si>
    <x:t xml:space="preserve">Add an end-to-end registration case or explicitly document why the workflow is decomposed. Verify newsletter and partner selections if they are in scope.</x:t>
  </x:si>
  <x:si>
    <x:t xml:space="preserve">REQ-AUTH-002</x:t>
  </x:si>
  <x:si>
    <x:t xml:space="preserve">SRC-TC-02</x:t>
  </x:si>
  <x:si>
    <x:t xml:space="preserve">Login / Account</x:t>
  </x:si>
  <x:si>
    <x:t xml:space="preserve">Login User with correct email and password</x:t>
  </x:si>
  <x:si>
    <x:t xml:space="preserve">AE-LOGIN-001
AE-ACCOUNT-001</x:t>
  </x:si>
  <x:si>
    <x:t xml:space="preserve">Valid login, username confirmation, and account deletion are covered across two focused test cases.</x:t>
  </x:si>
  <x:si>
    <x:t xml:space="preserve">No immediate gap. Maintain cross-reference between the two focused cases.</x:t>
  </x:si>
  <x:si>
    <x:t xml:space="preserve">REQ-AUTH-003</x:t>
  </x:si>
  <x:si>
    <x:t xml:space="preserve">SRC-TC-03</x:t>
  </x:si>
  <x:si>
    <x:t xml:space="preserve">Login</x:t>
  </x:si>
  <x:si>
    <x:t xml:space="preserve">Login User with incorrect email and password</x:t>
  </x:si>
  <x:si>
    <x:t xml:space="preserve">AE-LOGIN-003
AE-LOGIN-004</x:t>
  </x:si>
  <x:si>
    <x:t xml:space="preserve">Incorrect-password handling is covered by AE-LOGIN-003, and rejection of an unregistered email address is covered by AE-LOGIN-004.</x:t>
  </x:si>
  <x:si>
    <x:t xml:space="preserve">Functional — Negative</x:t>
  </x:si>
  <x:si>
    <x:t xml:space="preserve">High</x:t>
  </x:si>
  <x:si>
    <x:t xml:space="preserve">No immediate coverage gap. Retain both cases so invalid-password and unregistered-email behavior remain independently traceable.</x:t>
  </x:si>
  <x:si>
    <x:t xml:space="preserve">REQ-AUTH-004</x:t>
  </x:si>
  <x:si>
    <x:t xml:space="preserve">SRC-TC-04</x:t>
  </x:si>
  <x:si>
    <x:t xml:space="preserve">Logout</x:t>
  </x:si>
  <x:si>
    <x:t xml:space="preserve">Logout User</x:t>
  </x:si>
  <x:si>
    <x:t xml:space="preserve">AE-LOGOUT-001</x:t>
  </x:si>
  <x:si>
    <x:t xml:space="preserve">The source logout flow and additional browser-back session behavior were executed.</x:t>
  </x:si>
  <x:si>
    <x:t xml:space="preserve">AE-BUG-001
AE-BUG-002</x:t>
  </x:si>
  <x:si>
    <x:t xml:space="preserve">Retest after defects are corrected. Keep the additional browser-back check as enhanced coverage.</x:t>
  </x:si>
  <x:si>
    <x:t xml:space="preserve">REQ-AUTH-005</x:t>
  </x:si>
  <x:si>
    <x:t xml:space="preserve">SRC-TC-05</x:t>
  </x:si>
  <x:si>
    <x:t xml:space="preserve">Register User with existing email</x:t>
  </x:si>
  <x:si>
    <x:t xml:space="preserve">AE-SIGNUP-005</x:t>
  </x:si>
  <x:si>
    <x:t xml:space="preserve">Registration with an already registered email address was executed successfully and the expected duplicate-email error was displayed.</x:t>
  </x:si>
  <x:si>
    <x:t xml:space="preserve">No immediate gap. Continue using a dedicated QA account and sanitized evidence.</x:t>
  </x:si>
  <x:si>
    <x:t xml:space="preserve">REQ-CONTACT-001</x:t>
  </x:si>
  <x:si>
    <x:t xml:space="preserve">SRC-TC-06</x:t>
  </x:si>
  <x:si>
    <x:t xml:space="preserve">Contact</x:t>
  </x:si>
  <x:si>
    <x:t xml:space="preserve">Contact Us Form</x:t>
  </x:si>
  <x:si>
    <x:t xml:space="preserve">AE-CONTACT-001</x:t>
  </x:si>
  <x:si>
    <x:t xml:space="preserve">Text entry, permitted file upload, the confirmation dialog, success messaging, and return to Home all matched the expected result.</x:t>
  </x:si>
  <x:si>
    <x:t xml:space="preserve">Medium</x:t>
  </x:si>
  <x:si>
    <x:t xml:space="preserve">No immediate gap. Preserve the sanitized AE-CONTACT-001 screenshot and successful return-to-Home observation for regression evidence.</x:t>
  </x:si>
  <x:si>
    <x:t xml:space="preserve">REQ-NAV-001</x:t>
  </x:si>
  <x:si>
    <x:t xml:space="preserve">SRC-TC-07</x:t>
  </x:si>
  <x:si>
    <x:t xml:space="preserve">Navigation</x:t>
  </x:si>
  <x:si>
    <x:t xml:space="preserve">Verify Test Cases Page</x:t>
  </x:si>
  <x:si>
    <x:t xml:space="preserve">AE-NAV-001</x:t>
  </x:si>
  <x:si>
    <x:t xml:space="preserve"> Navigation to the Test Cases page completed without error and the published scenarios were visible as expected.</x:t>
  </x:si>
  <x:si>
    <x:t xml:space="preserve">Low</x:t>
  </x:si>
  <x:si>
    <x:t xml:space="preserve">No immediate gap. Retain AE-NAV-001 evidence showing both successful navigation and the published Test Cases page content.</x:t>
  </x:si>
  <x:si>
    <x:t xml:space="preserve">REQ-PRODUCT-001</x:t>
  </x:si>
  <x:si>
    <x:t xml:space="preserve">SRC-TC-08</x:t>
  </x:si>
  <x:si>
    <x:t xml:space="preserve">Products</x:t>
  </x:si>
  <x:si>
    <x:t xml:space="preserve">Verify All Products and product detail page</x:t>
  </x:si>
  <x:si>
    <x:t xml:space="preserve">AE-PRODUCT-001</x:t>
  </x:si>
  <x:si>
    <x:t xml:space="preserve">The All Products page, complete product list, product-detail navigation, and required product attributes were verified successfully.</x:t>
  </x:si>
  <x:si>
    <x:t xml:space="preserve">No immediate gap. Preserve evidence showing both the product list and product-detail information.</x:t>
  </x:si>
  <x:si>
    <x:t xml:space="preserve">REQ-PRODUCT-002</x:t>
  </x:si>
  <x:si>
    <x:t xml:space="preserve">SRC-TC-09</x:t>
  </x:si>
  <x:si>
    <x:t xml:space="preserve">Search Product</x:t>
  </x:si>
  <x:si>
    <x:t xml:space="preserve">AE-PRODUCT-002</x:t>
  </x:si>
  <x:si>
    <x:t xml:space="preserve">Product search was executed successfully and the returned products were verified as relevant to the selected search term.</x:t>
  </x:si>
  <x:si>
    <x:t xml:space="preserve">No immediate gap. Record the exact search term with each future execution.</x:t>
  </x:si>
  <x:si>
    <x:t xml:space="preserve">REQ-SUB-001</x:t>
  </x:si>
  <x:si>
    <x:t xml:space="preserve">SRC-TC-10</x:t>
  </x:si>
  <x:si>
    <x:t xml:space="preserve">Subscription</x:t>
  </x:si>
  <x:si>
    <x:t xml:space="preserve">Verify Subscription in home page</x:t>
  </x:si>
  <x:si>
    <x:t xml:space="preserve">AE-SUB-001</x:t>
  </x:si>
  <x:si>
    <x:t xml:space="preserve">The home-page footer displayed the subscription heading, accepted the sanitized email, and showed the expected success message.</x:t>
  </x:si>
  <x:si>
    <x:t xml:space="preserve">No immediate gap. Retain the sanitized AE-SUB-001 screenshot and reuse a controlled email value during regression testing.</x:t>
  </x:si>
  <x:si>
    <x:t xml:space="preserve">REQ-SUB-002</x:t>
  </x:si>
  <x:si>
    <x:t xml:space="preserve">SRC-TC-11</x:t>
  </x:si>
  <x:si>
    <x:t xml:space="preserve">Verify Subscription in Cart page</x:t>
  </x:si>
  <x:si>
    <x:t xml:space="preserve">AE-SUB-002</x:t>
  </x:si>
  <x:si>
    <x:t xml:space="preserve">The cart-page footer displayed the subscription heading, accepted the sanitized email, showed the expected success message, and remained on the cart page.</x:t>
  </x:si>
  <x:si>
    <x:t xml:space="preserve">No immediate gap. Retain AE-SUB-002 evidence confirming both the success message and continued cart-page context.</x:t>
  </x:si>
  <x:si>
    <x:t xml:space="preserve">REQ-CART-001</x:t>
  </x:si>
  <x:si>
    <x:t xml:space="preserve">SRC-TC-12</x:t>
  </x:si>
  <x:si>
    <x:t xml:space="preserve">Cart</x:t>
  </x:si>
  <x:si>
    <x:t xml:space="preserve">Add Products in Cart</x:t>
  </x:si>
  <x:si>
    <x:t xml:space="preserve">AE-CART-001</x:t>
  </x:si>
  <x:si>
    <x:t xml:space="preserve">Two products, their unit prices, default quantities, and line totals were verified. The case failed because the overall cart total was not displayed.</x:t>
  </x:si>
  <x:si>
    <x:t xml:space="preserve">AE-BUG-003</x:t>
  </x:si>
  <x:si>
    <x:t xml:space="preserve">Retest AE-CART-001 after AE-BUG-003 is corrected and confirm the overall total equals the sum of all line totals.</x:t>
  </x:si>
  <x:si>
    <x:t xml:space="preserve">REQ-CART-002</x:t>
  </x:si>
  <x:si>
    <x:t xml:space="preserve">SRC-TC-13</x:t>
  </x:si>
  <x:si>
    <x:t xml:space="preserve">Verify Product quantity in Cart</x:t>
  </x:si>
  <x:si>
    <x:t xml:space="preserve">AE-CART-002</x:t>
  </x:si>
  <x:si>
    <x:t xml:space="preserve">REQ-ORDER-001</x:t>
  </x:si>
  <x:si>
    <x:t xml:space="preserve">SRC-TC-14</x:t>
  </x:si>
  <x:si>
    <x:t xml:space="preserve">Checkout</x:t>
  </x:si>
  <x:si>
    <x:t xml:space="preserve">Place Order: Register while Checkout</x:t>
  </x:si>
  <x:si>
    <x:t xml:space="preserve">No checkout registration-during-order workflow exists.</x:t>
  </x:si>
  <x:si>
    <x:t xml:space="preserve">End-to-End — Positive</x:t>
  </x:si>
  <x:si>
    <x:t xml:space="preserve">Create an end-to-end checkout case for registration during checkout.</x:t>
  </x:si>
  <x:si>
    <x:t xml:space="preserve">REQ-ORDER-002</x:t>
  </x:si>
  <x:si>
    <x:t xml:space="preserve">SRC-TC-15</x:t>
  </x:si>
  <x:si>
    <x:t xml:space="preserve">Place Order: Register before Checkout</x:t>
  </x:si>
  <x:si>
    <x:t xml:space="preserve">No register-before-checkout workflow exists.</x:t>
  </x:si>
  <x:si>
    <x:t xml:space="preserve">Create an end-to-end checkout case for registration before checkout.</x:t>
  </x:si>
  <x:si>
    <x:t xml:space="preserve">REQ-ORDER-003</x:t>
  </x:si>
  <x:si>
    <x:t xml:space="preserve">SRC-TC-16</x:t>
  </x:si>
  <x:si>
    <x:t xml:space="preserve">Place Order: Login before Checkout</x:t>
  </x:si>
  <x:si>
    <x:t xml:space="preserve">No login-before-checkout workflow exists.</x:t>
  </x:si>
  <x:si>
    <x:t xml:space="preserve">Create an end-to-end checkout case for login before checkout.</x:t>
  </x:si>
  <x:si>
    <x:t xml:space="preserve">REQ-CART-003</x:t>
  </x:si>
  <x:si>
    <x:t xml:space="preserve">SRC-TC-17</x:t>
  </x:si>
  <x:si>
    <x:t xml:space="preserve">Remove Products From Cart</x:t>
  </x:si>
  <x:si>
    <x:t xml:space="preserve">AE-CART-003</x:t>
  </x:si>
  <x:si>
    <x:t xml:space="preserve">A product was added to the cart, removed using the remove control, and verified as no longer displayed or included in cart totals.</x:t>
  </x:si>
  <x:si>
    <x:t xml:space="preserve">No immediate gap. Retain before-and-after cart evidence for future executions.</x:t>
  </x:si>
  <x:si>
    <x:t xml:space="preserve">REQ-CATALOG-001</x:t>
  </x:si>
  <x:si>
    <x:t xml:space="preserve">SRC-TC-18</x:t>
  </x:si>
  <x:si>
    <x:t xml:space="preserve">Catalog</x:t>
  </x:si>
  <x:si>
    <x:t xml:space="preserve">View Category Products</x:t>
  </x:si>
  <x:si>
    <x:t xml:space="preserve">No category-navigation test exists.</x:t>
  </x:si>
  <x:si>
    <x:t xml:space="preserve">Create category and subcategory navigation coverage.</x:t>
  </x:si>
  <x:si>
    <x:t xml:space="preserve">REQ-CATALOG-002</x:t>
  </x:si>
  <x:si>
    <x:t xml:space="preserve">SRC-TC-19</x:t>
  </x:si>
  <x:si>
    <x:t xml:space="preserve">View &amp; Cart Brand Products</x:t>
  </x:si>
  <x:si>
    <x:t xml:space="preserve">No brand-navigation test exists.</x:t>
  </x:si>
  <x:si>
    <x:t xml:space="preserve">Create brand-list and brand-switching coverage.</x:t>
  </x:si>
  <x:si>
    <x:t xml:space="preserve">REQ-CART-004</x:t>
  </x:si>
  <x:si>
    <x:t xml:space="preserve">SRC-TC-20</x:t>
  </x:si>
  <x:si>
    <x:t xml:space="preserve">Search / Cart</x:t>
  </x:si>
  <x:si>
    <x:t xml:space="preserve">Search Products and Verify Cart After Login</x:t>
  </x:si>
  <x:si>
    <x:t xml:space="preserve">No cart-persistence-after-login workflow exists.</x:t>
  </x:si>
  <x:si>
    <x:t xml:space="preserve">Create search, cart, login, and cart-persistence coverage.</x:t>
  </x:si>
  <x:si>
    <x:t xml:space="preserve">REQ-REVIEW-001</x:t>
  </x:si>
  <x:si>
    <x:t xml:space="preserve">SRC-TC-21</x:t>
  </x:si>
  <x:si>
    <x:t xml:space="preserve">Product Review</x:t>
  </x:si>
  <x:si>
    <x:t xml:space="preserve">Add review on product</x:t>
  </x:si>
  <x:si>
    <x:t xml:space="preserve">No product-review test exists.</x:t>
  </x:si>
  <x:si>
    <x:t xml:space="preserve">Create product-review submission coverage.</x:t>
  </x:si>
  <x:si>
    <x:t xml:space="preserve">REQ-CART-005</x:t>
  </x:si>
  <x:si>
    <x:t xml:space="preserve">SRC-TC-22</x:t>
  </x:si>
  <x:si>
    <x:t xml:space="preserve">Recommended Items</x:t>
  </x:si>
  <x:si>
    <x:t xml:space="preserve">Add to cart from Recommended items</x:t>
  </x:si>
  <x:si>
    <x:t xml:space="preserve">No recommended-item cart test exists.</x:t>
  </x:si>
  <x:si>
    <x:t xml:space="preserve">Create recommended-item cart coverage.</x:t>
  </x:si>
  <x:si>
    <x:t xml:space="preserve">REQ-ORDER-004</x:t>
  </x:si>
  <x:si>
    <x:t xml:space="preserve">SRC-TC-23</x:t>
  </x:si>
  <x:si>
    <x:t xml:space="preserve">Verify address details in checkout page</x:t>
  </x:si>
  <x:si>
    <x:t xml:space="preserve">No billing/delivery address verification exists.</x:t>
  </x:si>
  <x:si>
    <x:t xml:space="preserve">Create checkout-address verification coverage.</x:t>
  </x:si>
  <x:si>
    <x:t xml:space="preserve">REQ-ORDER-005</x:t>
  </x:si>
  <x:si>
    <x:t xml:space="preserve">SRC-TC-24</x:t>
  </x:si>
  <x:si>
    <x:t xml:space="preserve">Checkout / Invoice</x:t>
  </x:si>
  <x:si>
    <x:t xml:space="preserve">Download Invoice after purchase order</x:t>
  </x:si>
  <x:si>
    <x:t xml:space="preserve">No invoice-download test exists.</x:t>
  </x:si>
  <x:si>
    <x:t xml:space="preserve">Create purchase and invoice-download coverage.</x:t>
  </x:si>
  <x:si>
    <x:t xml:space="preserve">REQ-NAV-002</x:t>
  </x:si>
  <x:si>
    <x:t xml:space="preserve">SRC-TC-25</x:t>
  </x:si>
  <x:si>
    <x:t xml:space="preserve">Verify Scroll Up using 'Arrow' button and Scroll Down functionality</x:t>
  </x:si>
  <x:si>
    <x:t xml:space="preserve">No arrow-assisted scrolling test exists.</x:t>
  </x:si>
  <x:si>
    <x:t xml:space="preserve">Create scroll-down and arrow-assisted scroll-up coverage.</x:t>
  </x:si>
  <x:si>
    <x:t xml:space="preserve">REQ-NAV-003</x:t>
  </x:si>
  <x:si>
    <x:t xml:space="preserve">SRC-TC-26</x:t>
  </x:si>
  <x:si>
    <x:t xml:space="preserve">Verify Scroll Up without 'Arrow' button and Scroll Down functionality</x:t>
  </x:si>
  <x:si>
    <x:t xml:space="preserve">No manual scroll-up test exists.</x:t>
  </x:si>
  <x:si>
    <x:t xml:space="preserve">Create manual scroll-down and scroll-up coverage.</x:t>
  </x:si>
  <x:si>
    <x:t xml:space="preserve">REQ-EXT-001</x:t>
  </x:si>
  <x:si>
    <x:t xml:space="preserve">CUSTOM-01</x:t>
  </x:si>
  <x:si>
    <x:t xml:space="preserve">Reject invalid email format during registration</x:t>
  </x:si>
  <x:si>
    <x:t xml:space="preserve">AE-SIGNUP-003</x:t>
  </x:si>
  <x:si>
    <x:t xml:space="preserve">Tester-derived negative validation coverage was executed successfully.</x:t>
  </x:si>
  <x:si>
    <x:t xml:space="preserve">Retain as enhanced coverage beyond the published scenarios.</x:t>
  </x:si>
  <x:si>
    <x:t xml:space="preserve">REQ-EXT-002</x:t>
  </x:si>
  <x:si>
    <x:t xml:space="preserve">CUSTOM-02</x:t>
  </x:si>
  <x:si>
    <x:t xml:space="preserve">Prevent account creation when required fields are blank</x:t>
  </x:si>
  <x:si>
    <x:t xml:space="preserve">AE-SIGNUP-004</x:t>
  </x:si>
  <x:si>
    <x:t xml:space="preserve">Tester-derived required-field validation was executed successfully.</x:t>
  </x:si>
  <x:si>
    <x:t xml:space="preserve">Consider splitting each required field into an independently traceable case.</x:t>
  </x:si>
  <x:si>
    <x:t xml:space="preserve">REQ-EXT-003</x:t>
  </x:si>
  <x:si>
    <x:t xml:space="preserve">CUSTOM-03</x:t>
  </x:si>
  <x:si>
    <x:t xml:space="preserve">Login Security</x:t>
  </x:si>
  <x:si>
    <x:t xml:space="preserve">Reject SQL injection input without authenticating the user</x:t>
  </x:si>
  <x:si>
    <x:t xml:space="preserve">AE-LOGIN-002</x:t>
  </x:si>
  <x:si>
    <x:t xml:space="preserve">Tester-derived security-focused input validation was executed successfully.</x:t>
  </x:si>
  <x:si>
    <x:t xml:space="preserve">Security — Negative</x:t>
  </x:si>
  <x:si>
    <x:t xml:space="preserve">Retain as authorized security coverage; do not use destructive payloads.</x:t>
  </x:si>
  <x:si>
    <x:t xml:space="preserve">REQ-EXT-004</x:t>
  </x:si>
  <x:si>
    <x:t xml:space="preserve">CUSTOM-04</x:t>
  </x:si>
  <x:si>
    <x:t xml:space="preserve">Account Management</x:t>
  </x:si>
  <x:si>
    <x:t xml:space="preserve">Preserve an active account across logout and a new browser tab</x:t>
  </x:si>
  <x:si>
    <x:t xml:space="preserve">AE-ACCOUNT-002</x:t>
  </x:si>
  <x:si>
    <x:t xml:space="preserve">Tester-derived account-persistence coverage was executed successfully.</x:t>
  </x:si>
  <x:si>
    <x:t xml:space="preserve">Retain as enhanced account-lifecycle coverage.</x:t>
  </x:si>
  <x:si>
    <x:t xml:space="preserve">REQ-API-001</x:t>
  </x:si>
  <x:si>
    <x:t xml:space="preserve">Site API Scenario</x:t>
  </x:si>
  <x:si>
    <x:t xml:space="preserve">SRC-API-01</x:t>
  </x:si>
  <x:si>
    <x:t xml:space="preserve">Product API</x:t>
  </x:si>
  <x:si>
    <x:t xml:space="preserve">Get All Products List</x:t>
  </x:si>
  <x:si>
    <x:t xml:space="preserve">API-PRODUCT-001</x:t>
  </x:si>
  <x:si>
    <x:t xml:space="preserve">API — Positive</x:t>
  </x:si>
  <x:si>
    <x:t xml:space="preserve">REQ-API-002</x:t>
  </x:si>
  <x:si>
    <x:t xml:space="preserve">SRC-API-02</x:t>
  </x:si>
  <x:si>
    <x:t xml:space="preserve">POST To All Products List</x:t>
  </x:si>
  <x:si>
    <x:t xml:space="preserve">API-PRODUCT-002</x:t>
  </x:si>
  <x:si>
    <x:t xml:space="preserve">API — Negative</x:t>
  </x:si>
  <x:si>
    <x:t xml:space="preserve">REQ-API-003</x:t>
  </x:si>
  <x:si>
    <x:t xml:space="preserve">SRC-API-03</x:t>
  </x:si>
  <x:si>
    <x:t xml:space="preserve">Brand API</x:t>
  </x:si>
  <x:si>
    <x:t xml:space="preserve">Get All Brands List</x:t>
  </x:si>
  <x:si>
    <x:t xml:space="preserve">API-BRAND-001</x:t>
  </x:si>
  <x:si>
    <x:t xml:space="preserve">REQ-API-004</x:t>
  </x:si>
  <x:si>
    <x:t xml:space="preserve">SRC-API-04</x:t>
  </x:si>
  <x:si>
    <x:t xml:space="preserve">PUT To All Brands List</x:t>
  </x:si>
  <x:si>
    <x:t xml:space="preserve">API-BRAND-002</x:t>
  </x:si>
  <x:si>
    <x:t xml:space="preserve">REQ-API-005</x:t>
  </x:si>
  <x:si>
    <x:t xml:space="preserve">SRC-API-05</x:t>
  </x:si>
  <x:si>
    <x:t xml:space="preserve">Search API</x:t>
  </x:si>
  <x:si>
    <x:t xml:space="preserve">POST To Search Product</x:t>
  </x:si>
  <x:si>
    <x:t xml:space="preserve">API-SEARCH-001</x:t>
  </x:si>
  <x:si>
    <x:t xml:space="preserve">REQ-API-006</x:t>
  </x:si>
  <x:si>
    <x:t xml:space="preserve">SRC-API-06</x:t>
  </x:si>
  <x:si>
    <x:t xml:space="preserve">POST To Search Product without search_product 
parameter</x:t>
  </x:si>
  <x:si>
    <x:t xml:space="preserve">API-SEARCH-002</x:t>
  </x:si>
  <x:si>
    <x:t xml:space="preserve">REQ-API-007</x:t>
  </x:si>
  <x:si>
    <x:t xml:space="preserve">SRC-API-07</x:t>
  </x:si>
  <x:si>
    <x:t xml:space="preserve">Authentication API</x:t>
  </x:si>
  <x:si>
    <x:t xml:space="preserve">POST To Verify Login with valid details</x:t>
  </x:si>
  <x:si>
    <x:t xml:space="preserve">API-AUTH-001</x:t>
  </x:si>
  <x:si>
    <x:t xml:space="preserve">REQ-API-008</x:t>
  </x:si>
  <x:si>
    <x:t xml:space="preserve">SRC-API-08</x:t>
  </x:si>
  <x:si>
    <x:t xml:space="preserve">POST To Verify Login without email parameter</x:t>
  </x:si>
  <x:si>
    <x:t xml:space="preserve">API-AUTH-002</x:t>
  </x:si>
  <x:si>
    <x:t xml:space="preserve">REQ-API-009</x:t>
  </x:si>
  <x:si>
    <x:t xml:space="preserve">SRC-API-09</x:t>
  </x:si>
  <x:si>
    <x:t xml:space="preserve">DELETE To Verify Login</x:t>
  </x:si>
  <x:si>
    <x:t xml:space="preserve">API-AUTH-003</x:t>
  </x:si>
  <x:si>
    <x:t xml:space="preserve">REQ-API-010</x:t>
  </x:si>
  <x:si>
    <x:t xml:space="preserve">SRC-API-10</x:t>
  </x:si>
  <x:si>
    <x:t xml:space="preserve">POST To Verify Login with invalid details</x:t>
  </x:si>
  <x:si>
    <x:t xml:space="preserve">API-AUTH-004</x:t>
  </x:si>
  <x:si>
    <x:t xml:space="preserve">REQ-API-011</x:t>
  </x:si>
  <x:si>
    <x:t xml:space="preserve">SRC-API-11</x:t>
  </x:si>
  <x:si>
    <x:t xml:space="preserve">Account API</x:t>
  </x:si>
  <x:si>
    <x:t xml:space="preserve">POST To Create/Register User Account</x:t>
  </x:si>
  <x:si>
    <x:t xml:space="preserve">API-ACCOUNT-001</x:t>
  </x:si>
  <x:si>
    <x:t xml:space="preserve">REQ-API-012</x:t>
  </x:si>
  <x:si>
    <x:t xml:space="preserve">SRC-API-12</x:t>
  </x:si>
  <x:si>
    <x:t xml:space="preserve">DELETE METHOD To Delete User Account</x:t>
  </x:si>
  <x:si>
    <x:t xml:space="preserve">API-ACCOUNT-002</x:t>
  </x:si>
  <x:si>
    <x:t xml:space="preserve">REQ-API-013</x:t>
  </x:si>
  <x:si>
    <x:t xml:space="preserve">SRC-API-13</x:t>
  </x:si>
  <x:si>
    <x:t xml:space="preserve">PUT METHOD To Update User Account</x:t>
  </x:si>
  <x:si>
    <x:t xml:space="preserve">API-ACCOUNT-003</x:t>
  </x:si>
  <x:si>
    <x:t xml:space="preserve">REQ-API-014</x:t>
  </x:si>
  <x:si>
    <x:t xml:space="preserve">SRC-API-14</x:t>
  </x:si>
  <x:si>
    <x:t xml:space="preserve">GET user account detail by email</x:t>
  </x:si>
  <x:si>
    <x:t xml:space="preserve">API-ACCOUNT-004</x:t>
  </x:si>
  <x:si>
    <x:t xml:space="preserve">Authoritative Source Scenarios</x:t>
  </x:si>
  <x:si>
    <x:t xml:space="preserve">Exact scenario titles and step sequences transcribed from the Automation Exercise website</x:t>
  </x:si>
  <x:si>
    <x:t xml:space="preserve">Exact Scenario Title</x:t>
  </x:si>
  <x:si>
    <x:t xml:space="preserve">Step Count</x:t>
  </x:si>
  <x:si>
    <x:t xml:space="preserve">Exact Source Steps</x:t>
  </x:si>
  <x:si>
    <x:t xml:space="preserve">Test Case 1: Register User</x:t>
  </x:si>
  <x:si>
    <x:t xml:space="preserve">1. Launch browser
2. Navigate to url 'http://automationexercise.com'
3. Verify that home page is visible successfully
4. Click on 'Signup / Login' button
5. Verify 'New User Signup!' is visible
6. Enter name and email address
7. Click 'Signup' button
8. Verify that 'ENTER ACCOUNT INFORMATION' is visible
9. Fill details: Title, Name, Email, Password, Date of birth
10. Select checkbox 'Sign up for our newsletter!'
11. Select checkbox 'Receive special offers from our partners!'
12. Fill details: First name, Last name, Company, Address, Address2, Country, State, City, Zipcode, Mobile Number
13. Click 'Create Account button'
14. Verify that 'ACCOUNT CREATED!' is visible
15. Click 'Continue' button
16. Verify that 'Logged in as username' is visible
17. Click 'Delete Account' button
18. Verify that 'ACCOUNT DELETED!' is visible and click 'Continue' button</x:t>
  </x:si>
  <x:si>
    <x:t xml:space="preserve">Test Case 2: Login User with correct email and password</x:t>
  </x:si>
  <x:si>
    <x:t xml:space="preserve">1. Launch browser
2. Navigate to url 'http://automationexercise.com'
3. Verify that home page is visible successfully
4. Click on 'Signup / Login' button
5. Verify 'Login to your account' is visible
6. Enter correct email address and password
7. Click 'login' button
8. Verify that 'Logged in as username' is visible
9. Click 'Delete Account' button
10. Verify that 'ACCOUNT DELETED!' is visible</x:t>
  </x:si>
  <x:si>
    <x:t xml:space="preserve">Test Case 3: Login User with incorrect email and password</x:t>
  </x:si>
  <x:si>
    <x:t xml:space="preserve">1. Launch browser
2. Navigate to url 'http://automationexercise.com'
3. Verify that home page is visible successfully
4. Click on 'Signup / Login' button
5. Verify 'Login to your account' is visible
6. Enter incorrect email address and password
7. Click 'login' button
8. Verify error 'Your email or password is incorrect!' is visible</x:t>
  </x:si>
  <x:si>
    <x:t xml:space="preserve">Test Case 4: Logout User</x:t>
  </x:si>
  <x:si>
    <x:t xml:space="preserve">1. Launch browser
2. Navigate to url 'http://automationexercise.com'
3. Verify that home page is visible successfully
4. Click on 'Signup / Login' button
5. Verify 'Login to your account' is visible
6. Enter correct email address and password
7. Click 'login' button
8. Verify that 'Logged in as username' is visible
9. Click 'Logout' button
10. Verify that user is navigated to login page</x:t>
  </x:si>
  <x:si>
    <x:t xml:space="preserve">Test Case 5: Register User with existing email</x:t>
  </x:si>
  <x:si>
    <x:t xml:space="preserve">1. Launch browser
2. Navigate to url 'http://automationexercise.com'
3. Verify that home page is visible successfully
4. Click on 'Signup / Login' button
5. Verify 'New User Signup!' is visible
6. Enter name and already registered email address
7. Click 'Signup' button
8. Verify error 'Email Address already exist!' is visible</x:t>
  </x:si>
  <x:si>
    <x:t xml:space="preserve">Test Case 6: Contact Us Form</x:t>
  </x:si>
  <x:si>
    <x:t xml:space="preserve">1. Launch browser
2. Navigate to url 'http://automationexercise.com'
3. Verify that home page is visible successfully
4. Click on 'Contact Us' button
5. Verify 'GET IN TOUCH' is visible
6. Enter name, email, subject and message
7. Upload file
8. Click 'Submit' button
9. Click OK button
10. Verify success message 'Success! Your details have been submitted successfully.' is visible
11. Click 'Home' button and verify that landed to home page successfully</x:t>
  </x:si>
  <x:si>
    <x:t xml:space="preserve">Test Case 7: Verify Test Cases Page</x:t>
  </x:si>
  <x:si>
    <x:t xml:space="preserve">1. Launch browser
2. Navigate to url 'http://automationexercise.com'
3. Verify that home page is visible successfully
4. Click on 'Test Cases' button
5. Verify user is navigated to test cases page successfully</x:t>
  </x:si>
  <x:si>
    <x:t xml:space="preserve">Test Case 8: Verify All Products and product detail page</x:t>
  </x:si>
  <x:si>
    <x:t xml:space="preserve">1. Launch browser
2. Navigate to url 'http://automationexercise.com'
3. Verify that home page is visible successfully
4. Click on 'Products' button
5. Verify user is navigated to ALL PRODUCTS page successfully
6. The products list is visible
7. Click on 'View Product' of first product
8. User is landed to product detail page
9. Verify that detail detail is visible: product name, category, price, availability, condition, brand</x:t>
  </x:si>
  <x:si>
    <x:t xml:space="preserve">Test Case 9: Search Product</x:t>
  </x:si>
  <x:si>
    <x:t xml:space="preserve">1. Launch browser
2. Navigate to url 'http://automationexercise.com'
3. Verify that home page is visible successfully
4. Click on 'Products' button
5. Verify user is navigated to ALL PRODUCTS page successfully
6. Enter product name in search input and click search button
7. Verify 'SEARCHED PRODUCTS' is visible
8. Verify all the products related to search are visible</x:t>
  </x:si>
  <x:si>
    <x:t xml:space="preserve">Test Case 10: Verify Subscription in home page</x:t>
  </x:si>
  <x:si>
    <x:t xml:space="preserve">1. Launch browser
2. Navigate to url 'http://automationexercise.com'
3. Verify that home page is visible successfully
4. Scroll down to footer
5. Verify text 'SUBSCRIPTION'
6. Enter email address in input and click arrow button
7. Verify success message 'You have been successfully subscribed!' is visible</x:t>
  </x:si>
  <x:si>
    <x:t xml:space="preserve">Test Case 11: Verify Subscription in Cart page</x:t>
  </x:si>
  <x:si>
    <x:t xml:space="preserve">1. Launch browser
2. Navigate to url 'http://automationexercise.com'
3. Verify that home page is visible successfully
4. Click 'Cart' button
5. Scroll down to footer
6. Verify text 'SUBSCRIPTION'
7. Enter email address in input and click arrow button
8. Verify success message 'You have been successfully subscribed!' is visible</x:t>
  </x:si>
  <x:si>
    <x:t xml:space="preserve">Test Case 12: Add Products in Cart</x:t>
  </x:si>
  <x:si>
    <x:t xml:space="preserve">1. Launch browser
2. Navigate to url 'http://automationexercise.com'
3. Verify that home page is visible successfully
4. Click 'Products' button
5. Hover over first product and click 'Add to cart'
6. Click 'Continue Shopping' button
7. Hover over second product and click 'Add to cart'
8. Click 'View Cart' button
9. Verify both products are added to Cart
10. Verify their prices, quantity and total price</x:t>
  </x:si>
  <x:si>
    <x:t xml:space="preserve">Test Case 13: Verify Product quantity in Cart</x:t>
  </x:si>
  <x:si>
    <x:t xml:space="preserve">1. Launch browser
2. Navigate to url 'http://automationexercise.com'
3. Verify that home page is visible successfully
4. Click 'View Product' for any product on home page
5. Verify product detail is opened
6. Increase quantity to 4
7. Click 'Add to cart' button
8. Click 'View Cart' button
9. Verify that product is displayed in cart page with exact quantity</x:t>
  </x:si>
  <x:si>
    <x:t xml:space="preserve">Test Case 14: Place Order: Register while Checkout</x:t>
  </x:si>
  <x:si>
    <x:t xml:space="preserve">1. Launch browser
2. Navigate to url 'http://automationexercise.com'
3. Verify that home page is visible successfully
4. Add products to cart
5. Click 'Cart' button
6. Verify that cart page is displayed
7. Click Proceed To Checkout
8. Click 'Register / Login' button
9. Fill all details in Signup and create account
10. Verify 'ACCOUNT CREATED!' and click 'Continue' button
11. Verify 'Logged in as username' at top
12. Click 'Cart' button
13. Click 'Proceed To Checkout' button
14. Verify Address Details and Review Your Order
15. Enter description in comment text area and click 'Place Order'
16. Enter payment details: Name on Card, Card Number, CVC, Expiration date
17. Click 'Pay and Confirm Order' button
18. Verify success message 'Your order has been placed successfully!'
19. Click 'Delete Account' button
20. Verify 'ACCOUNT DELETED!' and click 'Continue' button</x:t>
  </x:si>
  <x:si>
    <x:t xml:space="preserve">Test Case 15: Place Order: Register before Checkout</x:t>
  </x:si>
  <x:si>
    <x:t xml:space="preserve">1. Launch browser
2. Navigate to url 'http://automationexercise.com'
3. Verify that home page is visible successfully
4. Click 'Signup / Login' button
5. Fill all details in Signup and create account
6. Verify 'ACCOUNT CREATED!' and click 'Continue' button
7. Verify 'Logged in as username' at top
8. Add products to cart
9. Click 'Cart' button
10. Verify that cart page is displayed
11. Click Proceed To Checkout
12. Verify Address Details and Review Your Order
13. Enter description in comment text area and click 'Place Order'
14. Enter payment details: Name on Card, Card Number, CVC, Expiration date
15. Click 'Pay and Confirm Order' button
16. Verify success message 'Your order has been placed successfully!'
17. Click 'Delete Account' button
18. Verify 'ACCOUNT DELETED!' and click 'Continue' button</x:t>
  </x:si>
  <x:si>
    <x:t xml:space="preserve">Test Case 16: Place Order: Login before Checkout</x:t>
  </x:si>
  <x:si>
    <x:t xml:space="preserve">1. Launch browser
2. Navigate to url 'http://automationexercise.com'
3. Verify that home page is visible successfully
4. Click 'Signup / Login' button
5. Fill email, password and click 'Login' button
6. Verify 'Logged in as username' at top
7. Add products to cart
8. Click 'Cart' button
9. Verify that cart page is displayed
10. Click Proceed To Checkout
11. Verify Address Details and Review Your Order
12. Enter description in comment text area and click 'Place Order'
13. Enter payment details: Name on Card, Card Number, CVC, Expiration date
14. Click 'Pay and Confirm Order' button
15. Verify success message 'Your order has been placed successfully!'
16. Click 'Delete Account' button
17. Verify 'ACCOUNT DELETED!' and click 'Continue' button</x:t>
  </x:si>
  <x:si>
    <x:t xml:space="preserve">Test Case 17: Remove Products From Cart</x:t>
  </x:si>
  <x:si>
    <x:t xml:space="preserve">1. Launch browser
2. Navigate to url 'http://automationexercise.com'
3. Verify that home page is visible successfully
4. Add products to cart
5. Click 'Cart' button
6. Verify that cart page is displayed
7. Click 'X' button corresponding to particular product
8. Verify that product is removed from the cart</x:t>
  </x:si>
  <x:si>
    <x:t xml:space="preserve">Test Case 18: View Category Products</x:t>
  </x:si>
  <x:si>
    <x:t xml:space="preserve">1. Launch browser
2. Navigate to url 'http://automationexercise.com'
3. Verify that categories are visible on left side bar
4. Click on 'Women' category
5. Click on any category link under 'Women' category, for example: Dress
6. Verify that category page is displayed and confirm text 'WOMEN - TOPS PRODUCTS'
7. On left side bar, click on any sub-category link of 'Men' category
8. Verify that user is navigated to that category page</x:t>
  </x:si>
  <x:si>
    <x:t xml:space="preserve">Test Case 19: View &amp; Cart Brand Products</x:t>
  </x:si>
  <x:si>
    <x:t xml:space="preserve">1. Launch browser
2. Navigate to url 'http://automationexercise.com'
3. Click on 'Products' button
4. Verify that Brands are visible on left side bar
5. Click on any brand name
6. Verify that user is navigated to brand page and brand products are displayed
7. On left side bar, click on any other brand link
8. Verify that user is navigated to that brand page and can see products</x:t>
  </x:si>
  <x:si>
    <x:t xml:space="preserve">Test Case 20: Search Products and Verify Cart After Login</x:t>
  </x:si>
  <x:si>
    <x:t xml:space="preserve">1. Launch browser
2. Navigate to url 'http://automationexercise.com'
3. Click on 'Products' button
4. Verify user is navigated to ALL PRODUCTS page successfully
5. Enter product name in search input and click search button
6. Verify 'SEARCHED PRODUCTS' is visible
7. Verify all the products related to search are visible
8. Add those products to cart
9. Click 'Cart' button and verify that products are visible in cart
10. Click 'Signup / Login' button and submit login details
11. Again, go to Cart page
12. Verify that those products are visible in cart after login as well</x:t>
  </x:si>
  <x:si>
    <x:t xml:space="preserve">Test Case 21: Add review on product</x:t>
  </x:si>
  <x:si>
    <x:t xml:space="preserve">1. Launch browser
2. Navigate to url 'http://automationexercise.com'
3. Click on 'Products' button
4. Verify user is navigated to ALL PRODUCTS page successfully
5. Click on 'View Product' button
6. Verify 'Write Your Review' is visible
7. Enter name, email and review
8. Click 'Submit' button
9. Verify success message 'Thank you for your review.'</x:t>
  </x:si>
  <x:si>
    <x:t xml:space="preserve">Test Case 22: Add to cart from Recommended items</x:t>
  </x:si>
  <x:si>
    <x:t xml:space="preserve">1. Launch browser
2. Navigate to url 'http://automationexercise.com'
3. Scroll to bottom of page
4. Verify 'RECOMMENDED ITEMS' are visible
5. Click on 'Add To Cart' on Recommended product
6. Click on 'View Cart' button
7. Verify that product is displayed in cart page</x:t>
  </x:si>
  <x:si>
    <x:t xml:space="preserve">Test Case 23: Verify address details in checkout page</x:t>
  </x:si>
  <x:si>
    <x:t xml:space="preserve">1. Launch browser
2. Navigate to url 'http://automationexercise.com'
3. Verify that home page is visible successfully
4. Click 'Signup / Login' button
5. Fill all details in Signup and create account
6. Verify 'ACCOUNT CREATED!' and click 'Continue' button
7. Verify 'Logged in as username' at top
8. Add products to cart
9. Click 'Cart' button
10. Verify that cart page is displayed
11. Click Proceed To Checkout
12. Verify that the delivery address is same address filled at the time registration of account
13. Verify that the billing address is same address filled at the time registration of account
14. Click 'Delete Account' button
15. Verify 'ACCOUNT DELETED!' and click 'Continue' button</x:t>
  </x:si>
  <x:si>
    <x:t xml:space="preserve">Test Case 24: Download Invoice after purchase order</x:t>
  </x:si>
  <x:si>
    <x:t xml:space="preserve">1. Launch browser
2. Navigate to url 'http://automationexercise.com'
3. Verify that home page is visible successfully
4. Add products to cart
5. Click 'Cart' button
6. Verify that cart page is displayed
7. Click Proceed To Checkout
8. Click 'Register / Login' button
9. Fill all details in Signup and create account
10. Verify 'ACCOUNT CREATED!' and click 'Continue' button
11. Verify 'Logged in as username' at top
12. Click 'Cart' button
13. Click 'Proceed To Checkout' button
14. Verify Address Details and Review Your Order
15. Enter description in comment text area and click 'Place Order'
16. Enter payment details: Name on Card, Card Number, CVC, Expiration date
17. Click 'Pay and Confirm Order' button
18. Verify success message 'Your order has been placed successfully!'
19. Click 'Download Invoice' button and verify invoice is downloaded successfully.
20. Click 'Continue' button
21. Click 'Delete Account' button
22. Verify 'ACCOUNT DELETED!' and click 'Continue' button</x:t>
  </x:si>
  <x:si>
    <x:t xml:space="preserve">Test Case 25: Verify Scroll Up using 'Arrow' button and Scroll Down functionality.</x:t>
  </x:si>
  <x:si>
    <x:t xml:space="preserve">1. Launch browser
2. Navigate to url 'http://automationexercise.com'
3. Verify that home page is visible successfully
4. Scroll down page to bottom
5. Verify 'SUBSCRIPTION' is visible
6. Click on arrow at bottom right side to move upward
7. Verify that page is scrolled up and 'Full-Fledged practice website for Automation Engineers' text is visible on screen</x:t>
  </x:si>
  <x:si>
    <x:t xml:space="preserve">Test Case 26: Verify Scroll Up without 'Arrow' button and Scroll Down functionality.</x:t>
  </x:si>
  <x:si>
    <x:t xml:space="preserve">1. Launch browser
2. Navigate to url 'http://automationexercise.com'
3. Verify that home page is visible successfully
4. Scroll down page to bottom
5. Verify 'SUBSCRIPTION' is visible
6. Scroll up page to top
7. Verify that page is scrolled up and 'Full-Fledged practice website for Automation Engineers' text is visible on screen</x:t>
  </x:si>
  <x:si>
    <x:t xml:space="preserve">Automation Exercise — Official API Source Scenarios</x:t>
  </x:si>
  <x:si>
    <x:t xml:space="preserve">Exact scenario details transcribed from Automation Exercise Web Application</x:t>
  </x:si>
  <x:si>
    <x:t xml:space="preserve">Source API ID</x:t>
  </x:si>
  <x:si>
    <x:t xml:space="preserve">API URL</x:t>
  </x:si>
  <x:si>
    <x:t xml:space="preserve">Request Method</x:t>
  </x:si>
  <x:si>
    <x:t xml:space="preserve">Exact Request Parameter(s)</x:t>
  </x:si>
  <x:si>
    <x:t xml:space="preserve">Response Code</x:t>
  </x:si>
  <x:si>
    <x:t xml:space="preserve">Response Type</x:t>
  </x:si>
  <x:si>
    <x:t xml:space="preserve">Exact Expected Response</x:t>
  </x:si>
  <x:si>
    <x:t xml:space="preserve">API 1: Get All Products List</x:t>
  </x:si>
  <x:si>
    <x:t xml:space="preserve">https://automationexercise.com/api/productsList</x:t>
  </x:si>
  <x:si>
    <x:t xml:space="preserve">GET</x:t>
  </x:si>
  <x:si>
    <x:t xml:space="preserve">Response JSON</x:t>
  </x:si>
  <x:si>
    <x:t xml:space="preserve">All products list</x:t>
  </x:si>
  <x:si>
    <x:t xml:space="preserve">API 2: POST To All Products List</x:t>
  </x:si>
  <x:si>
    <x:t xml:space="preserve">POST</x:t>
  </x:si>
  <x:si>
    <x:t xml:space="preserve">Response Message</x:t>
  </x:si>
  <x:si>
    <x:t xml:space="preserve">This request method is not supported.</x:t>
  </x:si>
  <x:si>
    <x:t xml:space="preserve">API 3: Get All Brands List</x:t>
  </x:si>
  <x:si>
    <x:t xml:space="preserve">https://automationexercise.com/api/brandsList</x:t>
  </x:si>
  <x:si>
    <x:t xml:space="preserve">All brands list</x:t>
  </x:si>
  <x:si>
    <x:t xml:space="preserve">API 4: PUT To All Brands List</x:t>
  </x:si>
  <x:si>
    <x:t xml:space="preserve">PUT</x:t>
  </x:si>
  <x:si>
    <x:t xml:space="preserve">API 5: POST To Search Product</x:t>
  </x:si>
  <x:si>
    <x:t xml:space="preserve">https://automationexercise.com/api/searchProduct</x:t>
  </x:si>
  <x:si>
    <x:t xml:space="preserve">search_product (For example: top, tshirt, jean)</x:t>
  </x:si>
  <x:si>
    <x:t xml:space="preserve">Searched products list</x:t>
  </x:si>
  <x:si>
    <x:t xml:space="preserve">API 6: POST To Search Product without search_product parameter</x:t>
  </x:si>
  <x:si>
    <x:t xml:space="preserve">Bad request, search_product parameter is missing in POST request.</x:t>
  </x:si>
  <x:si>
    <x:t xml:space="preserve">API 7: POST To Verify Login with valid details</x:t>
  </x:si>
  <x:si>
    <x:t xml:space="preserve">https://automationexercise.com/api/verifyLogin</x:t>
  </x:si>
  <x:si>
    <x:t xml:space="preserve">email, password</x:t>
  </x:si>
  <x:si>
    <x:t xml:space="preserve">User exists!</x:t>
  </x:si>
  <x:si>
    <x:t xml:space="preserve">API 8: POST To Verify Login without email parameter</x:t>
  </x:si>
  <x:si>
    <x:t xml:space="preserve">password</x:t>
  </x:si>
  <x:si>
    <x:t xml:space="preserve">Bad request, email or password parameter is missing in POST request.</x:t>
  </x:si>
  <x:si>
    <x:t xml:space="preserve">API 9: DELETE To Verify Login</x:t>
  </x:si>
  <x:si>
    <x:t xml:space="preserve">DELETE</x:t>
  </x:si>
  <x:si>
    <x:t xml:space="preserve">API 10: POST To Verify Login with invalid details</x:t>
  </x:si>
  <x:si>
    <x:t xml:space="preserve">email, password (invalid values)</x:t>
  </x:si>
  <x:si>
    <x:t xml:space="preserve">User not found!</x:t>
  </x:si>
  <x:si>
    <x:t xml:space="preserve">API 11: POST To Create/Register User Account</x:t>
  </x:si>
  <x:si>
    <x:t xml:space="preserve">https://automationexercise.com/api/createAccount</x:t>
  </x:si>
  <x:si>
    <x:t xml:space="preserve">name, email, password, title (for example: Mr, Mrs, Miss), birth_date, birth_month, birth_year, firstname, lastname, company, address1, address2, country, zipcode, state, city, mobile_number</x:t>
  </x:si>
  <x:si>
    <x:t xml:space="preserve">User created!</x:t>
  </x:si>
  <x:si>
    <x:t xml:space="preserve">API 12: DELETE METHOD To Delete User Account</x:t>
  </x:si>
  <x:si>
    <x:t xml:space="preserve">https://automationexercise.com/api/deleteAccount</x:t>
  </x:si>
  <x:si>
    <x:t xml:space="preserve">Account deleted!</x:t>
  </x:si>
  <x:si>
    <x:t xml:space="preserve">API 13: PUT METHOD To Update User Account</x:t>
  </x:si>
  <x:si>
    <x:t xml:space="preserve">https://automationexercise.com/api/updateAccount</x:t>
  </x:si>
  <x:si>
    <x:t xml:space="preserve">User updated!</x:t>
  </x:si>
  <x:si>
    <x:t xml:space="preserve"> </x:t>
  </x:si>
  <x:si>
    <x:t xml:space="preserve">API 14: GET user account detail by email</x:t>
  </x:si>
  <x:si>
    <x:t xml:space="preserve">https://automationexercise.com/api/getUserDetailByEmail</x:t>
  </x:si>
  <x:si>
    <x:t xml:space="preserve">email</x:t>
  </x:si>
  <x:si>
    <x:t xml:space="preserve">User Detail</x:t>
  </x:si>
</x:sst>
</file>

<file path=xl/styles.xml><?xml version="1.0" encoding="utf-8"?>
<x:styleSheet xmlns:x="http://schemas.openxmlformats.org/spreadsheetml/2006/main">
  <x:fonts count="11">
    <x:font>
      <x:sz val="11"/>
      <x:name val="Carlito"/>
    </x:font>
    <x:font>
      <x:b/>
      <x:sz val="18"/>
      <x:color rgb="FFFFFFFF"/>
      <x:name val="Carlito"/>
    </x:font>
    <x:font>
      <x:i/>
      <x:sz val="10"/>
      <x:color rgb="FF1F2937"/>
      <x:name val="Carlito"/>
    </x:font>
    <x:font>
      <x:b/>
      <x:sz val="10"/>
      <x:color rgb="FFFFFFFF"/>
      <x:name val="Carlito"/>
    </x:font>
    <x:font>
      <x:b/>
      <x:sz val="22"/>
      <x:color rgb="FF17365D"/>
      <x:name val="Carlito"/>
    </x:font>
    <x:font>
      <x:sz val="10"/>
      <x:color rgb="FF1F2937"/>
      <x:name val="Carlito"/>
    </x:font>
    <x:font>
      <x:b/>
      <x:sz val="12"/>
      <x:color rgb="FFFFFFFF"/>
      <x:name val="Carlito"/>
    </x:font>
    <x:font>
      <x:sz val="11"/>
      <x:color rgb="FF1F2937"/>
      <x:name val="Carlito"/>
    </x:font>
    <x:font>
      <x:i/>
      <x:sz val="10"/>
      <x:color rgb="FF7F6000"/>
      <x:name val="Carlito"/>
    </x:font>
    <x:font>
      <x:sz val="11"/>
      <x:color theme="10"/>
      <x:name val="Carlito"/>
    </x:font>
    <x:font>
      <x:sz val="10"/>
      <x:name val="Carlito"/>
    </x:font>
  </x:fonts>
  <x:fills count="11">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4F6F8"/>
      </x:patternFill>
    </x:fill>
    <x:fill>
      <x:patternFill patternType="solid">
        <x:fgColor rgb="FFEAF3F8"/>
      </x:patternFill>
    </x:fill>
    <x:fill>
      <x:patternFill patternType="solid">
        <x:fgColor rgb="FFFFF2CC"/>
      </x:patternFill>
    </x:fill>
    <x:fill>
      <x:patternFill patternType="solid">
        <x:fgColor rgb="FF2F75B5"/>
      </x:patternFill>
    </x:fill>
    <x:fill>
      <x:patternFill patternType="solid">
        <x:fgColor rgb="FF17365D"/>
      </x:patternFill>
    </x:fill>
    <x:fill>
      <x:patternFill patternType="solid">
        <x:fgColor rgb="FFD9EAF7"/>
      </x:patternFill>
    </x:fill>
  </x:fills>
  <x:borders count="24">
    <x:border/>
    <x:border>
      <x:left style="thin">
        <x:color rgb="FFC9D2DC"/>
      </x:left>
      <x:top style="thin">
        <x:color rgb="FFC9D2DC"/>
      </x:top>
    </x:border>
    <x:border>
      <x:top style="thin">
        <x:color rgb="FFC9D2DC"/>
      </x:top>
    </x:border>
    <x:border>
      <x:right style="thin">
        <x:color rgb="FFC9D2DC"/>
      </x:right>
      <x:top style="thin">
        <x:color rgb="FFC9D2DC"/>
      </x:top>
    </x:border>
    <x:border>
      <x:left style="thin">
        <x:color rgb="FFC9D2DC"/>
      </x:left>
      <x:bottom style="thin">
        <x:color rgb="FFC9D2DC"/>
      </x:bottom>
    </x:border>
    <x:border>
      <x:bottom style="thin">
        <x:color rgb="FFC9D2DC"/>
      </x:bottom>
    </x:border>
    <x:border>
      <x:right style="thin">
        <x:color rgb="FFC9D2DC"/>
      </x:right>
      <x:bottom style="thin">
        <x:color rgb="FFC9D2DC"/>
      </x:bottom>
    </x:border>
    <x:border>
      <x:left style="thin">
        <x:color rgb="FFC9D2DC"/>
      </x:left>
    </x:border>
    <x:border>
      <x:right style="thin">
        <x:color rgb="FFC9D2DC"/>
      </x:right>
    </x:border>
    <x:border>
      <x:left style="thin">
        <x:color rgb="FFD6B656"/>
      </x:left>
      <x:top style="thin">
        <x:color rgb="FFD6B656"/>
      </x:top>
    </x:border>
    <x:border>
      <x:top style="thin">
        <x:color rgb="FFD6B656"/>
      </x:top>
    </x:border>
    <x:border>
      <x:right style="thin">
        <x:color rgb="FFD6B656"/>
      </x:right>
      <x:top style="thin">
        <x:color rgb="FFD6B656"/>
      </x:top>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
      <x:left style="thin">
        <x:color indexed="64"/>
      </x:left>
      <x:right style="thin">
        <x:color indexed="64"/>
      </x:right>
      <x:top style="thin">
        <x:color indexed="64"/>
      </x:top>
      <x:bottom style="thin">
        <x:color indexed="64"/>
      </x:bottom>
    </x:border>
    <x:border>
      <x:right style="thin">
        <x:color indexed="64"/>
      </x:right>
      <x:bottom style="thin">
        <x:color indexed="64"/>
      </x:bottom>
    </x:border>
    <x:border>
      <x:left style="thin">
        <x:color indexed="64"/>
      </x:left>
      <x:right style="thin">
        <x:color indexed="64"/>
      </x:right>
      <x:bottom style="thin">
        <x:color indexed="64"/>
      </x:bottom>
    </x:border>
    <x:border>
      <x:left style="thin">
        <x:color indexed="64"/>
      </x:left>
      <x:bottom style="thin">
        <x:color indexed="64"/>
      </x:bottom>
    </x:border>
    <x:border>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rder>
    <x:border>
      <x:left style="thin">
        <x:color indexed="64"/>
      </x:left>
      <x:right style="thin">
        <x:color indexed="64"/>
      </x:right>
      <x:top style="thin">
        <x:color indexed="64"/>
      </x:top>
    </x:border>
    <x:border>
      <x:left style="thin">
        <x:color indexed="64"/>
      </x:left>
      <x:top style="thin">
        <x:color indexed="64"/>
      </x:top>
    </x:border>
  </x:borders>
  <x:cellStyleXfs count="2">
    <x:xf numFmtId="0" fontId="0" fillId="0" borderId="0"/>
    <x:xf numFmtId="0" fontId="9" fillId="0" borderId="0" applyNumberFormat="0" applyFill="0" applyBorder="0" applyAlignment="0" applyProtection="0"/>
  </x:cellStyleXfs>
  <x:cellXfs count="57">
    <x:xf numFmtId="0" fontId="0" fillId="0" borderId="0" xfId="0"/>
    <x:xf numFmtId="0" fontId="3" fillId="4" borderId="16" xfId="0" applyFont="1" applyFill="1" applyBorder="1" applyAlignment="1">
      <x:alignment horizontal="center" vertical="center" wrapText="1"/>
    </x:xf>
    <x:xf numFmtId="0" fontId="3" fillId="4" borderId="17" xfId="0" applyFont="1" applyFill="1" applyBorder="1" applyAlignment="1">
      <x:alignment horizontal="center" vertical="center" wrapText="1"/>
    </x:xf>
    <x:xf numFmtId="0" fontId="3" fillId="4" borderId="18" xfId="0" applyFont="1" applyFill="1" applyBorder="1" applyAlignment="1">
      <x:alignment horizontal="center" vertical="center" wrapText="1"/>
    </x:xf>
    <x:xf numFmtId="0" fontId="5" fillId="0" borderId="19" xfId="0" applyFont="1" applyBorder="1" applyAlignment="1">
      <x:alignment horizontal="center" vertical="top" wrapText="1"/>
    </x:xf>
    <x:xf numFmtId="0" fontId="5" fillId="0" borderId="15" xfId="0" applyFont="1" applyBorder="1" applyAlignment="1">
      <x:alignment horizontal="center" vertical="top" wrapText="1"/>
    </x:xf>
    <x:xf numFmtId="0" fontId="9" fillId="0" borderId="15" xfId="1" applyBorder="1" applyAlignment="1">
      <x:alignment horizontal="center" vertical="top" wrapText="1"/>
    </x:xf>
    <x:xf numFmtId="0" fontId="5" fillId="0" borderId="15" xfId="0" applyFont="1" applyBorder="1" applyAlignment="1">
      <x:alignment vertical="top" wrapText="1"/>
    </x:xf>
    <x:xf numFmtId="0" fontId="5" fillId="0" borderId="20" xfId="0" applyFont="1" applyBorder="1" applyAlignment="1">
      <x:alignment horizontal="center" vertical="top" wrapText="1"/>
    </x:xf>
    <x:xf numFmtId="0" fontId="5" fillId="0" borderId="21" xfId="0" applyFont="1" applyBorder="1" applyAlignment="1">
      <x:alignment horizontal="center" vertical="top" wrapText="1"/>
    </x:xf>
    <x:xf numFmtId="0" fontId="5" fillId="0" borderId="22" xfId="0" applyFont="1" applyBorder="1" applyAlignment="1">
      <x:alignment horizontal="center" vertical="top" wrapText="1"/>
    </x:xf>
    <x:xf numFmtId="0" fontId="5" fillId="0" borderId="22" xfId="0" applyFont="1" applyBorder="1" applyAlignment="1">
      <x:alignment vertical="top" wrapText="1"/>
    </x:xf>
    <x:xf numFmtId="0" fontId="5" fillId="0" borderId="23" xfId="0" applyFont="1" applyBorder="1" applyAlignment="1">
      <x:alignment horizontal="center" vertical="top" wrapText="1"/>
    </x:xf>
    <x:xf numFmtId="0" fontId="9" fillId="0" borderId="22" xfId="1" applyBorder="1" applyAlignment="1">
      <x:alignment horizontal="center" vertical="top" wrapText="1"/>
    </x:xf>
    <x:xf numFmtId="0" fontId="5" fillId="0" borderId="20" xfId="0" applyFont="1" applyBorder="1" applyAlignment="1">
      <x:alignment vertical="top" wrapText="1"/>
    </x:xf>
    <x:xf numFmtId="0" fontId="5" fillId="0" borderId="23" xfId="0" applyFont="1" applyBorder="1" applyAlignment="1">
      <x:alignment vertical="top" wrapText="1"/>
    </x:xf>
    <x:xf numFmtId="0" fontId="3" fillId="8" borderId="0" xfId="0" applyFont="1" applyFill="1" applyAlignment="1">
      <x:alignment horizontal="center" vertical="center" wrapText="1"/>
    </x:xf>
    <x:xf numFmtId="0" fontId="3" fillId="8" borderId="15" xfId="0" applyFont="1" applyFill="1" applyBorder="1" applyAlignment="1">
      <x:alignment horizontal="center" vertical="center"/>
    </x:xf>
    <x:xf numFmtId="0" fontId="5" fillId="0" borderId="15" xfId="0" applyFont="1" applyBorder="1" applyAlignment="1">
      <x:alignment horizontal="center" vertical="center"/>
    </x:xf>
    <x:xf numFmtId="0" fontId="3" fillId="4" borderId="15" xfId="0" applyFont="1" applyFill="1" applyBorder="1" applyAlignment="1">
      <x:alignment horizontal="center" vertical="center" wrapText="1"/>
    </x:xf>
    <x:xf numFmtId="0" fontId="5" fillId="0" borderId="15" xfId="0" applyFont="1" applyBorder="1" applyAlignment="1">
      <x:alignment horizontal="center" vertical="center" wrapText="1"/>
    </x:xf>
    <x:xf numFmtId="0" fontId="0" fillId="0" borderId="0" xfId="0" applyAlignment="1">
      <x:alignment vertical="top"/>
    </x:xf>
    <x:xf numFmtId="0" fontId="0" fillId="0" borderId="0" xfId="0" applyAlignment="1">
      <x:alignment horizontal="center" vertical="top"/>
    </x:xf>
    <x:xf numFmtId="0" fontId="10" fillId="0" borderId="15" xfId="0" applyFont="1" applyBorder="1" applyAlignment="1">
      <x:alignment horizontal="center" vertical="top"/>
    </x:xf>
    <x:xf numFmtId="0" fontId="10" fillId="0" borderId="15" xfId="0" applyFont="1" applyBorder="1" applyAlignment="1">
      <x:alignment vertical="top"/>
    </x:xf>
    <x:xf numFmtId="0" fontId="10" fillId="0" borderId="15" xfId="0" applyFont="1" applyBorder="1" applyAlignment="1">
      <x:alignment vertical="top" wrapText="1"/>
    </x:xf>
    <x:xf numFmtId="0" fontId="10" fillId="0" borderId="0" xfId="0" applyFont="1"/>
    <x:xf numFmtId="0" fontId="10" fillId="0" borderId="15" xfId="0" applyFont="1" applyBorder="1" applyAlignment="1">
      <x:alignment horizontal="center" vertical="top" wrapText="1"/>
    </x:xf>
    <x:xf numFmtId="0" fontId="6" fillId="2" borderId="0" xfId="0" applyFont="1" applyFill="1" applyAlignment="1">
      <x:alignment vertical="center"/>
    </x:xf>
    <x:xf numFmtId="0" fontId="7" fillId="6" borderId="1" xfId="0" applyFont="1" applyFill="1" applyBorder="1" applyAlignment="1">
      <x:alignment vertical="top" wrapText="1"/>
    </x:xf>
    <x:xf numFmtId="0" fontId="7" fillId="6" borderId="2" xfId="0" applyFont="1" applyFill="1" applyBorder="1" applyAlignment="1">
      <x:alignment vertical="top" wrapText="1"/>
    </x:xf>
    <x:xf numFmtId="0" fontId="7" fillId="6" borderId="3" xfId="0" applyFont="1" applyFill="1" applyBorder="1" applyAlignment="1">
      <x:alignment vertical="top" wrapText="1"/>
    </x:xf>
    <x:xf numFmtId="0" fontId="7" fillId="6" borderId="7" xfId="0" applyFont="1" applyFill="1" applyBorder="1" applyAlignment="1">
      <x:alignment vertical="top" wrapText="1"/>
    </x:xf>
    <x:xf numFmtId="0" fontId="7" fillId="6" borderId="0" xfId="0" applyFont="1" applyFill="1" applyAlignment="1">
      <x:alignment vertical="top" wrapText="1"/>
    </x:xf>
    <x:xf numFmtId="0" fontId="7" fillId="6" borderId="8" xfId="0" applyFont="1" applyFill="1" applyBorder="1" applyAlignment="1">
      <x:alignment vertical="top" wrapText="1"/>
    </x:xf>
    <x:xf numFmtId="0" fontId="7" fillId="6" borderId="4" xfId="0" applyFont="1" applyFill="1" applyBorder="1" applyAlignment="1">
      <x:alignment vertical="top" wrapText="1"/>
    </x:xf>
    <x:xf numFmtId="0" fontId="7" fillId="6" borderId="5" xfId="0" applyFont="1" applyFill="1" applyBorder="1" applyAlignment="1">
      <x:alignment vertical="top" wrapText="1"/>
    </x:xf>
    <x:xf numFmtId="0" fontId="7" fillId="6" borderId="6" xfId="0" applyFont="1" applyFill="1" applyBorder="1" applyAlignment="1">
      <x:alignment vertical="top" wrapText="1"/>
    </x:xf>
    <x:xf numFmtId="0" fontId="1" fillId="2" borderId="0" xfId="0" applyFont="1" applyFill="1" applyAlignment="1">
      <x:alignment horizontal="center" vertical="center"/>
    </x:xf>
    <x:xf numFmtId="0" fontId="2" fillId="3" borderId="0" xfId="0" applyFont="1" applyFill="1" applyAlignment="1">
      <x:alignment horizontal="center" vertical="center"/>
    </x:xf>
    <x:xf numFmtId="0" fontId="3" fillId="4" borderId="0" xfId="0" applyFont="1" applyFill="1" applyAlignment="1">
      <x:alignment horizontal="center" vertical="center"/>
    </x:xf>
    <x:xf numFmtId="0" fontId="4" fillId="5" borderId="1" xfId="0" applyFont="1" applyFill="1" applyBorder="1" applyAlignment="1">
      <x:alignment horizontal="center" vertical="center"/>
    </x:xf>
    <x:xf numFmtId="0" fontId="4" fillId="5" borderId="2" xfId="0" applyFont="1" applyFill="1" applyBorder="1" applyAlignment="1">
      <x:alignment horizontal="center" vertical="center"/>
    </x:xf>
    <x:xf numFmtId="0" fontId="4" fillId="5" borderId="3" xfId="0" applyFont="1" applyFill="1" applyBorder="1" applyAlignment="1">
      <x:alignment horizontal="center" vertical="center"/>
    </x:xf>
    <x:xf numFmtId="0" fontId="4" fillId="5" borderId="4" xfId="0" applyFont="1" applyFill="1" applyBorder="1" applyAlignment="1">
      <x:alignment horizontal="center" vertical="center"/>
    </x:xf>
    <x:xf numFmtId="0" fontId="4" fillId="5" borderId="5" xfId="0" applyFont="1" applyFill="1" applyBorder="1" applyAlignment="1">
      <x:alignment horizontal="center" vertical="center"/>
    </x:xf>
    <x:xf numFmtId="0" fontId="4" fillId="5" borderId="6" xfId="0" applyFont="1" applyFill="1" applyBorder="1" applyAlignment="1">
      <x:alignment horizontal="center" vertical="center"/>
    </x:xf>
    <x:xf numFmtId="0" fontId="8" fillId="7" borderId="9" xfId="0" applyFont="1" applyFill="1" applyBorder="1" applyAlignment="1">
      <x:alignment vertical="center" wrapText="1"/>
    </x:xf>
    <x:xf numFmtId="0" fontId="8" fillId="7" borderId="10" xfId="0" applyFont="1" applyFill="1" applyBorder="1" applyAlignment="1">
      <x:alignment vertical="center" wrapText="1"/>
    </x:xf>
    <x:xf numFmtId="0" fontId="8" fillId="7" borderId="11" xfId="0" applyFont="1" applyFill="1" applyBorder="1" applyAlignment="1">
      <x:alignment vertical="center" wrapText="1"/>
    </x:xf>
    <x:xf numFmtId="0" fontId="8" fillId="7" borderId="12" xfId="0" applyFont="1" applyFill="1" applyBorder="1" applyAlignment="1">
      <x:alignment vertical="center" wrapText="1"/>
    </x:xf>
    <x:xf numFmtId="0" fontId="8" fillId="7" borderId="13" xfId="0" applyFont="1" applyFill="1" applyBorder="1" applyAlignment="1">
      <x:alignment vertical="center" wrapText="1"/>
    </x:xf>
    <x:xf numFmtId="0" fontId="8" fillId="7" borderId="14" xfId="0" applyFont="1" applyFill="1" applyBorder="1" applyAlignment="1">
      <x:alignment vertical="center" wrapText="1"/>
    </x:xf>
    <x:xf numFmtId="0" fontId="1" fillId="9" borderId="0" xfId="0" applyFont="1" applyFill="1" applyAlignment="1">
      <x:alignment horizontal="center" vertical="center"/>
    </x:xf>
    <x:xf numFmtId="0" fontId="2" fillId="10" borderId="0" xfId="0" applyFont="1" applyFill="1" applyAlignment="1">
      <x:alignment horizontal="center" vertical="center"/>
    </x:xf>
    <x:xf numFmtId="0" fontId="10" fillId="0" borderId="15" xfId="0" applyNumberFormat="1" applyFont="1" applyFill="1" applyBorder="1" applyAlignment="1">
      <x:alignment vertical="top" wrapText="1"/>
    </x:xf>
    <x:xf numFmtId="0" fontId="10" fillId="0" borderId="15" xfId="0" applyNumberFormat="1" applyFont="1" applyFill="1" applyBorder="1" applyAlignment="1">
      <x:alignment horizontal="center" vertical="top" wrapText="1"/>
    </x:xf>
  </x:cellXfs>
  <x:cellStyles count="2">
    <x:cellStyle name="Hyperlink" xfId="1"/>
    <x:cellStyle name="Normal" xfId="0"/>
  </x:cellStyles>
  <x:dxfs count="6">
    <x:dxf>
      <x:font>
        <x:color rgb="FF595959"/>
      </x:font>
      <x:fill>
        <x:patternFill>
          <x:bgColor rgb="FFE7E6E6"/>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7F6000"/>
      </x:font>
      <x:fill>
        <x:patternFill>
          <x:bgColor rgb="FFFFF2CC"/>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ac053999684fb7" /><Relationship Type="http://schemas.openxmlformats.org/officeDocument/2006/relationships/theme" Target="/xl/theme/theme1.xml" Id="R7290a96861fe4a8f" /><Relationship Type="http://schemas.openxmlformats.org/officeDocument/2006/relationships/sharedStrings" Target="/xl/sharedStrings.xml" Id="R06bb41cf30d34707" /><Relationship Type="http://schemas.openxmlformats.org/officeDocument/2006/relationships/worksheet" Target="/xl/worksheets/sheet1.xml" Id="R96409dd7441f4b4c" /><Relationship Type="http://schemas.openxmlformats.org/officeDocument/2006/relationships/worksheet" Target="/xl/worksheets/sheet2.xml" Id="R71f1c132b4304545" /><Relationship Type="http://schemas.openxmlformats.org/officeDocument/2006/relationships/worksheet" Target="/xl/worksheets/sheet3.xml" Id="Rb0ce1c6fb47e4ec2" /><Relationship Type="http://schemas.openxmlformats.org/officeDocument/2006/relationships/worksheet" Target="/xl/worksheets/sheet4.xml" Id="Re03b49eba46b48f5" /></Relationships>
</file>

<file path=xl/drawings/_rels/drawing1.xml.rels>&#65279;<?xml version="1.0" encoding="utf-8"?><Relationships xmlns="http://schemas.openxmlformats.org/package/2006/relationships"><Relationship Type="http://schemas.openxmlformats.org/officeDocument/2006/relationships/chart" Target="/xl/drawings/charts/chart1.xml" Id="R1ba45f0118d74968"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a:t>Overall Requirement Coverage</a:t>
            </a:r>
          </a:p>
        </c:rich>
      </c:tx>
      <c:overlay val="0"/>
    </c:title>
    <c:autoTitleDeleted val="0"/>
    <c:plotArea>
      <c:layout/>
      <c:barChart>
        <c:barDir val="col"/>
        <c:grouping val="clustered"/>
        <c:varyColors val="0"/>
        <c:ser>
          <c:idx val="0"/>
          <c:order val="0"/>
          <c:tx>
            <c:v>Count</c:v>
          </c:tx>
          <c:cat>
            <c:strRef>
              <c:f>Overview!$A$9:$A$11</c:f>
              <c:strCache>
                <c:ptCount val="3"/>
                <c:pt idx="0">
                  <c:v>Fully Covered</c:v>
                </c:pt>
                <c:pt idx="1">
                  <c:v>Partially Covered</c:v>
                </c:pt>
                <c:pt idx="2">
                  <c:v>Not Covered</c:v>
                </c:pt>
              </c:strCache>
            </c:strRef>
          </c:cat>
          <c:val>
            <c:numRef>
              <c:f>Overview!$B$9:$B$11</c:f>
              <c:numCache>
                <c:formatCode>General</c:formatCode>
                <c:ptCount val="3"/>
                <c:pt idx="0">
                  <c:v>31</c:v>
                </c:pt>
                <c:pt idx="1">
                  <c:v>1</c:v>
                </c:pt>
                <c:pt idx="2">
                  <c:v>12</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7</xdr:row>
      <xdr:rowOff>0</xdr:rowOff>
    </xdr:from>
    <xdr:to>
      <xdr:col>13</xdr:col>
      <xdr:colOff>965200</xdr:colOff>
      <xdr:row>18</xdr:row>
      <xdr:rowOff>12700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ba45f0118d74968"/>
        </a:graphicData>
      </a:graphic>
    </xdr:graphicFrame>
    <xdr:clientData/>
  </xdr:twoCellAnchor>
</xdr:wsDr>
</file>

<file path=xl/tables/table1.xml><?xml version="1.0" encoding="utf-8"?>
<x:table xmlns:x="http://schemas.openxmlformats.org/spreadsheetml/2006/main" id="1" name="RequirementsTraceability" displayName="RequirementsTraceability" ref="A7:M51">
  <x:autoFilter ref="A7:M51"/>
  <x:tableColumns count="13">
    <x:tableColumn id="1" name="Requirement ID"/>
    <x:tableColumn id="2" name="Requirement Source"/>
    <x:tableColumn id="3" name="Source Scenario ID"/>
    <x:tableColumn id="4" name="Feature"/>
    <x:tableColumn id="5" name="Requirement / Scenario"/>
    <x:tableColumn id="6" name="Mapped Test Case ID(s)"/>
    <x:tableColumn id="7" name="Coverage Status"/>
    <x:tableColumn id="8" name="Coverage Rationale"/>
    <x:tableColumn id="9" name="Test Type"/>
    <x:tableColumn id="10" name="Priority"/>
    <x:tableColumn id="11" name="Execution Status"/>
    <x:tableColumn id="12" name="Defect ID(s)"/>
    <x:tableColumn id="13" name="Gap / Recommended Action"/>
  </x:tableColumns>
  <x:tableStyleInfo name="TableStyleMedium2" showRowStripes="1"/>
</x:table>
</file>

<file path=xl/tables/table2.xml><?xml version="1.0" encoding="utf-8"?>
<x:table xmlns:x="http://schemas.openxmlformats.org/spreadsheetml/2006/main" id="2" name="SourceScenarioRegister" displayName="SourceScenarioRegister" ref="A4:D30">
  <x:autoFilter ref="A4:D30"/>
  <x:tableColumns count="4">
    <x:tableColumn id="1" name="Source Scenario ID"/>
    <x:tableColumn id="2" name="Exact Scenario Title"/>
    <x:tableColumn id="3" name="Step Count"/>
    <x:tableColumn id="4" name="Exact Source Steps"/>
  </x:tableColumns>
  <x:tableStyleInfo name="TableStyleMedium2" showRowStripes="1"/>
</x:table>
</file>

<file path=xl/tables/table3.xml><?xml version="1.0" encoding="utf-8"?>
<x:table xmlns:x="http://schemas.openxmlformats.org/spreadsheetml/2006/main" id="3" name="OfficialApiScenarios" displayName="OfficialApiScenarios" ref="A4:H18">
  <x:autoFilter ref="A4:H18"/>
  <x:tableColumns count="8">
    <x:tableColumn id="1" name="Source API ID"/>
    <x:tableColumn id="2" name="Exact Scenario Title"/>
    <x:tableColumn id="3" name="API URL"/>
    <x:tableColumn id="4" name="Request Method"/>
    <x:tableColumn id="5" name="Exact Request Parameter(s)"/>
    <x:tableColumn id="6" name="Response Code"/>
    <x:tableColumn id="7" name="Response Type"/>
    <x:tableColumn id="8" name="Exact Expected Respons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96255ddb2714545" /></Relationships>
</file>

<file path=xl/worksheets/_rels/sheet2.xml.rels>&#65279;<?xml version="1.0" encoding="utf-8"?><Relationships xmlns="http://schemas.openxmlformats.org/package/2006/relationships"><Relationship Type="http://schemas.openxmlformats.org/officeDocument/2006/relationships/table" Target="/xl/tables/table1.xml" Id="R1f227c7770af4ca0" /></Relationships>
</file>

<file path=xl/worksheets/_rels/sheet3.xml.rels>&#65279;<?xml version="1.0" encoding="utf-8"?><Relationships xmlns="http://schemas.openxmlformats.org/package/2006/relationships"><Relationship Type="http://schemas.openxmlformats.org/officeDocument/2006/relationships/table" Target="/xl/tables/table2.xml" Id="Red2dd8bb27764167" /></Relationships>
</file>

<file path=xl/worksheets/_rels/sheet4.xml.rels>&#65279;<?xml version="1.0" encoding="utf-8"?><Relationships xmlns="http://schemas.openxmlformats.org/package/2006/relationships"><Relationship Type="http://schemas.openxmlformats.org/officeDocument/2006/relationships/table" Target="/xl/tables/table3.xml" Id="R42b278fa81d44da9" /></Relationships>
</file>

<file path=xl/worksheets/sheet1.xml><?xml version="1.0" encoding="utf-8"?>
<x:worksheet xmlns:x="http://schemas.openxmlformats.org/spreadsheetml/2006/main">
  <x:sheetViews>
    <x:sheetView showGridLines="0" workbookViewId="0"/>
  </x:sheetViews>
  <x:sheetFormatPr defaultRowHeight="14"/>
  <x:cols>
    <x:col min="1" max="1" width="22" customWidth="1"/>
    <x:col min="2" max="2" width="14" customWidth="1"/>
    <x:col min="3" max="5" width="18" customWidth="1"/>
    <x:col min="6" max="14" width="13" customWidth="1"/>
  </x:cols>
  <x:sheetData>
    <x:row r="1" ht="36" customHeight="1">
      <x:c r="A1" s="38" t="s">
        <x:v>0</x:v>
      </x:c>
      <x:c r="B1" s="38"/>
      <x:c r="C1" s="38"/>
      <x:c r="D1" s="38"/>
      <x:c r="E1" s="38"/>
      <x:c r="F1" s="38"/>
      <x:c r="G1" s="38"/>
      <x:c r="H1" s="38"/>
      <x:c r="I1" s="38"/>
      <x:c r="J1" s="38"/>
      <x:c r="K1" s="38"/>
      <x:c r="L1" s="38"/>
      <x:c r="M1" s="38"/>
      <x:c r="N1" s="38"/>
    </x:row>
    <x:row r="2" ht="24" customHeight="1">
      <x:c r="A2" s="39" t="s">
        <x:v>1</x:v>
      </x:c>
      <x:c r="B2" s="39"/>
      <x:c r="C2" s="39"/>
      <x:c r="D2" s="39"/>
      <x:c r="E2" s="39"/>
      <x:c r="F2" s="39"/>
      <x:c r="G2" s="39"/>
      <x:c r="H2" s="39"/>
      <x:c r="I2" s="39"/>
      <x:c r="J2" s="39"/>
      <x:c r="K2" s="39"/>
      <x:c r="L2" s="39"/>
      <x:c r="M2" s="39"/>
      <x:c r="N2" s="39"/>
    </x:row>
    <x:row r="4">
      <x:c r="A4" s="40" t="s">
        <x:v>2</x:v>
      </x:c>
      <x:c r="B4" s="40"/>
      <x:c r="C4" s="40"/>
      <x:c r="E4" s="40" t="s">
        <x:v>3</x:v>
      </x:c>
      <x:c r="F4" s="40"/>
      <x:c r="G4" s="40"/>
      <x:c r="I4" s="40" t="s">
        <x:v>4</x:v>
      </x:c>
      <x:c r="J4" s="40"/>
      <x:c r="K4" s="40"/>
      <x:c r="M4" s="40" t="s">
        <x:v>5</x:v>
      </x:c>
      <x:c r="N4" s="40"/>
    </x:row>
    <x:row r="5">
      <x:c r="A5" s="41" t="n">
        <x:f>COUNTA(RTM!A8:A107)</x:f>
        <x:v>44</x:v>
      </x:c>
      <x:c r="B5" s="42"/>
      <x:c r="C5" s="43"/>
      <x:c r="E5" s="41" t="n">
        <x:f>COUNTIF(RTM!G8:G107,"Fully Covered")</x:f>
        <x:v>31</x:v>
      </x:c>
      <x:c r="F5" s="42"/>
      <x:c r="G5" s="43"/>
      <x:c r="I5" s="41" t="n">
        <x:f>COUNTIF(RTM!G8:G107,"Partially Covered")</x:f>
        <x:v>1</x:v>
      </x:c>
      <x:c r="J5" s="42"/>
      <x:c r="K5" s="43"/>
      <x:c r="M5" s="41" t="n">
        <x:f>COUNTIF(RTM!G8:G107,"Not Covered")</x:f>
        <x:v>12</x:v>
      </x:c>
      <x:c r="N5" s="43"/>
    </x:row>
    <x:row r="6">
      <x:c r="A6" s="44"/>
      <x:c r="B6" s="45"/>
      <x:c r="C6" s="46"/>
      <x:c r="E6" s="44"/>
      <x:c r="F6" s="45"/>
      <x:c r="G6" s="46"/>
      <x:c r="I6" s="44"/>
      <x:c r="J6" s="45"/>
      <x:c r="K6" s="46"/>
      <x:c r="M6" s="44"/>
      <x:c r="N6" s="46"/>
    </x:row>
    <x:row r="8">
      <x:c r="A8" s="17" t="s">
        <x:v>6</x:v>
      </x:c>
      <x:c r="B8" s="17" t="s">
        <x:v>7</x:v>
      </x:c>
      <x:c r="C8" s="17" t="s">
        <x:v>8</x:v>
      </x:c>
      <x:c r="D8" s="17" t="s">
        <x:v>9</x:v>
      </x:c>
      <x:c r="E8" s="17" t="s">
        <x:v>10</x:v>
      </x:c>
    </x:row>
    <x:row r="9">
      <x:c r="A9" s="18" t="s">
        <x:v>3</x:v>
      </x:c>
      <x:c r="B9" s="18" t="n">
        <x:f>COUNTIF(RTM!G8:G107,"Fully Covered")</x:f>
        <x:v>31</x:v>
      </x:c>
      <x:c r="C9" s="18" t="n">
        <x:f>COUNTIFS(RTM!B8:B107,"Site Scenario",RTM!G8:G107,"Fully Covered")</x:f>
        <x:v>13</x:v>
      </x:c>
      <x:c r="D9" s="18" t="n">
        <x:f>COUNTIFS(RTM!B8:B107,"Site API Scenario",RTM!G8:G107,"Fully Covered")</x:f>
        <x:v>14</x:v>
      </x:c>
      <x:c r="E9" s="18" t="n">
        <x:f>COUNTIFS(RTM!B8:B107,"Tester-Derived",RTM!G8:G107,"Fully Covered")</x:f>
        <x:v>4</x:v>
      </x:c>
    </x:row>
    <x:row r="10">
      <x:c r="A10" s="18" t="s">
        <x:v>4</x:v>
      </x:c>
      <x:c r="B10" s="18" t="n">
        <x:f>COUNTIF(RTM!G8:G107,"Partially Covered")</x:f>
        <x:v>1</x:v>
      </x:c>
      <x:c r="C10" s="18" t="n">
        <x:f>COUNTIFS(RTM!B8:B107,"Site Scenario",RTM!G8:G107,"Partially Covered")</x:f>
        <x:v>1</x:v>
      </x:c>
      <x:c r="D10" s="18" t="n">
        <x:f>COUNTIFS(RTM!B8:B107,"Site API Scenario",RTM!G8:G107,"Partially Covered")</x:f>
        <x:v>0</x:v>
      </x:c>
      <x:c r="E10" s="18" t="n">
        <x:f>COUNTIFS(RTM!B8:B107,"Tester-Derived",RTM!G8:G107,"Partially Covered")</x:f>
        <x:v>0</x:v>
      </x:c>
    </x:row>
    <x:row r="11">
      <x:c r="A11" s="18" t="s">
        <x:v>5</x:v>
      </x:c>
      <x:c r="B11" s="18" t="n">
        <x:f>COUNTIF(RTM!G8:G107,"Not Covered")</x:f>
        <x:v>12</x:v>
      </x:c>
      <x:c r="C11" s="18" t="n">
        <x:f>COUNTIFS(RTM!B8:B107,"Site Scenario",RTM!G8:G107,"Not Covered")</x:f>
        <x:v>12</x:v>
      </x:c>
      <x:c r="D11" s="18" t="n">
        <x:f>COUNTIFS(RTM!B8:B107,"Site API Scenario",RTM!G8:G107,"Not Covered")</x:f>
        <x:v>0</x:v>
      </x:c>
      <x:c r="E11" s="18" t="n">
        <x:f>COUNTIFS(RTM!B8:B107,"Tester-Derived",RTM!G8:G107,"Not Covered")</x:f>
        <x:v>0</x:v>
      </x:c>
    </x:row>
    <x:row r="14">
      <x:c r="A14" s="19" t="s">
        <x:v>11</x:v>
      </x:c>
      <x:c r="B14" s="19" t="s">
        <x:v>7</x:v>
      </x:c>
      <x:c r="C14" s="19" t="s">
        <x:v>12</x:v>
      </x:c>
      <x:c r="D14" s="19" t="s">
        <x:v>13</x:v>
      </x:c>
    </x:row>
    <x:row r="15" ht="37.5">
      <x:c r="A15" s="20" t="s">
        <x:v>14</x:v>
      </x:c>
      <x:c r="B15" s="20" t="n">
        <x:f>COUNTIF(RTM!K8:K107,"Pass")</x:f>
        <x:v>30</x:v>
      </x:c>
      <x:c r="C15" s="20" t="n">
        <x:f>0</x:f>
        <x:v>0</x:v>
      </x:c>
      <x:c r="D15" s="20" t="s">
        <x:v>15</x:v>
      </x:c>
    </x:row>
    <x:row r="16" ht="37.5">
      <x:c r="A16" s="20" t="s">
        <x:v>16</x:v>
      </x:c>
      <x:c r="B16" s="20" t="n">
        <x:f>COUNTIF(RTM!K8:K107,"Fail")</x:f>
        <x:v>2</x:v>
      </x:c>
      <x:c r="C16" s="20" t="n">
        <x:f>COUNTIF(RTM!K8:K107,"Fail")</x:f>
        <x:v>2</x:v>
      </x:c>
      <x:c r="D16" s="20" t="s">
        <x:v>17</x:v>
      </x:c>
    </x:row>
    <x:row r="17" ht="25">
      <x:c r="A17" s="20" t="s">
        <x:v>18</x:v>
      </x:c>
      <x:c r="B17" s="20" t="n">
        <x:f>COUNTIF(RTM!K8:K107,"Not Run")</x:f>
        <x:v>12</x:v>
      </x:c>
      <x:c r="C17" s="20" t="n">
        <x:f>0</x:f>
        <x:v>0</x:v>
      </x:c>
      <x:c r="D17" s="20" t="s">
        <x:v>19</x:v>
      </x:c>
    </x:row>
    <x:row r="20" ht="15.5">
      <x:c r="A20" s="28" t="s">
        <x:v>20</x:v>
      </x:c>
      <x:c r="B20" s="28"/>
      <x:c r="C20" s="28"/>
      <x:c r="D20" s="28"/>
      <x:c r="E20" s="28"/>
      <x:c r="F20" s="28"/>
      <x:c r="G20" s="28"/>
      <x:c r="H20" s="28"/>
      <x:c r="I20" s="28"/>
      <x:c r="J20" s="28"/>
      <x:c r="K20" s="28"/>
      <x:c r="L20" s="28"/>
      <x:c r="M20" s="28"/>
      <x:c r="N20" s="28"/>
    </x:row>
    <x:row r="21" ht="30" customHeight="1">
      <x:c r="A21" s="29" t="str">
        <x:v>Current strength: all 14 official API requirements are mapped and currently passing, with Postman baseline evidence and independent automated verification retained.
API execution history: the 2026-08-01 Postman baseline recorded 37 assertions, 28 passes, 9 assertion failures, and 2 runner errors. Reconciliation found assertion and request-configuration issues rather than nine confirmed product defects.
Current API status: 14 passed, 0 failed, 0 not run. BUG-API-001 and BUG-API-002 were rejected after successful retest.
Recommended next action: rerun the corrected Postman collection for a fresh native runner export and retain both the historical and current reports.</x:v>
      </x:c>
      <x:c r="B21" s="30"/>
      <x:c r="C21" s="30"/>
      <x:c r="D21" s="30"/>
      <x:c r="E21" s="30"/>
      <x:c r="F21" s="30"/>
      <x:c r="G21" s="30"/>
      <x:c r="H21" s="30"/>
      <x:c r="I21" s="30"/>
      <x:c r="J21" s="30"/>
      <x:c r="K21" s="30"/>
      <x:c r="L21" s="30"/>
      <x:c r="M21" s="30"/>
      <x:c r="N21" s="31"/>
    </x:row>
    <x:row r="22" ht="30" customHeight="1">
      <x:c r="A22" s="32"/>
      <x:c r="B22" s="33"/>
      <x:c r="C22" s="33"/>
      <x:c r="D22" s="33"/>
      <x:c r="E22" s="33"/>
      <x:c r="F22" s="33"/>
      <x:c r="G22" s="33"/>
      <x:c r="H22" s="33"/>
      <x:c r="I22" s="33"/>
      <x:c r="J22" s="33"/>
      <x:c r="K22" s="33"/>
      <x:c r="L22" s="33"/>
      <x:c r="M22" s="33"/>
      <x:c r="N22" s="34"/>
    </x:row>
    <x:row r="23" ht="30" customHeight="1">
      <x:c r="A23" s="32"/>
      <x:c r="B23" s="33"/>
      <x:c r="C23" s="33"/>
      <x:c r="D23" s="33"/>
      <x:c r="E23" s="33"/>
      <x:c r="F23" s="33"/>
      <x:c r="G23" s="33"/>
      <x:c r="H23" s="33"/>
      <x:c r="I23" s="33"/>
      <x:c r="J23" s="33"/>
      <x:c r="K23" s="33"/>
      <x:c r="L23" s="33"/>
      <x:c r="M23" s="33"/>
      <x:c r="N23" s="34"/>
    </x:row>
    <x:row r="24" ht="30" customHeight="1">
      <x:c r="A24" s="32"/>
      <x:c r="B24" s="33"/>
      <x:c r="C24" s="33"/>
      <x:c r="D24" s="33"/>
      <x:c r="E24" s="33"/>
      <x:c r="F24" s="33"/>
      <x:c r="G24" s="33"/>
      <x:c r="H24" s="33"/>
      <x:c r="I24" s="33"/>
      <x:c r="J24" s="33"/>
      <x:c r="K24" s="33"/>
      <x:c r="L24" s="33"/>
      <x:c r="M24" s="33"/>
      <x:c r="N24" s="34"/>
    </x:row>
    <x:row r="25" ht="30" customHeight="1">
      <x:c r="A25" s="35"/>
      <x:c r="B25" s="36"/>
      <x:c r="C25" s="36"/>
      <x:c r="D25" s="36"/>
      <x:c r="E25" s="36"/>
      <x:c r="F25" s="36"/>
      <x:c r="G25" s="36"/>
      <x:c r="H25" s="36"/>
      <x:c r="I25" s="36"/>
      <x:c r="J25" s="36"/>
      <x:c r="K25" s="36"/>
      <x:c r="L25" s="36"/>
      <x:c r="M25" s="36"/>
      <x:c r="N25" s="37"/>
    </x:row>
  </x:sheetData>
  <x:mergeCells>
    <x:mergeCell ref="A20:N20"/>
    <x:mergeCell ref="A21:N25"/>
    <x:mergeCell ref="A1:N1"/>
    <x:mergeCell ref="A2:N2"/>
    <x:mergeCell ref="A4:C4"/>
    <x:mergeCell ref="A5:C6"/>
    <x:mergeCell ref="E4:G4"/>
    <x:mergeCell ref="E5:G6"/>
    <x:mergeCell ref="I4:K4"/>
    <x:mergeCell ref="I5:K6"/>
    <x:mergeCell ref="M4:N4"/>
    <x:mergeCell ref="M5:N6"/>
  </x:mergeCells>
  <x:pageMargins left="0.7" right="0.7" top="0.75" bottom="0.75" header="0.3" footer="0.3"/>
  <x:drawing xmlns:r="http://schemas.openxmlformats.org/officeDocument/2006/relationships" r:id="Ra96255ddb2714545"/>
</x:worksheet>
</file>

<file path=xl/worksheets/sheet2.xml><?xml version="1.0" encoding="utf-8"?>
<x:worksheet xmlns:x="http://schemas.openxmlformats.org/spreadsheetml/2006/main">
  <x:sheetViews>
    <x:sheetView showGridLines="0" workbookViewId="0"/>
  </x:sheetViews>
  <x:sheetFormatPr defaultRowHeight="14"/>
  <x:cols>
    <x:col min="1" max="3" width="18" customWidth="1"/>
    <x:col min="4" max="4" width="20" customWidth="1"/>
    <x:col min="5" max="5" width="38" customWidth="1"/>
    <x:col min="6" max="6" width="26" customWidth="1"/>
    <x:col min="7" max="7" width="20" customWidth="1"/>
    <x:col min="8" max="8" width="52" customWidth="1"/>
    <x:col min="9" max="9" width="24" customWidth="1"/>
    <x:col min="10" max="10" width="13" customWidth="1"/>
    <x:col min="11" max="11" width="17" customWidth="1"/>
    <x:col min="12" max="12" width="20" customWidth="1"/>
    <x:col min="13" max="13" width="53.33203125" customWidth="1"/>
  </x:cols>
  <x:sheetData>
    <x:row r="1" ht="36" customHeight="1">
      <x:c r="A1" s="38" t="s">
        <x:v>21</x:v>
      </x:c>
      <x:c r="B1" s="38"/>
      <x:c r="C1" s="38"/>
      <x:c r="D1" s="38"/>
      <x:c r="E1" s="38"/>
      <x:c r="F1" s="38"/>
      <x:c r="G1" s="38"/>
      <x:c r="H1" s="38"/>
      <x:c r="I1" s="38"/>
      <x:c r="J1" s="38"/>
      <x:c r="K1" s="38"/>
      <x:c r="L1" s="38"/>
      <x:c r="M1" s="38"/>
    </x:row>
    <x:row r="2" ht="24" customHeight="1">
      <x:c r="A2" s="39" t="s">
        <x:v>22</x:v>
      </x:c>
      <x:c r="B2" s="39"/>
      <x:c r="C2" s="39"/>
      <x:c r="D2" s="39"/>
      <x:c r="E2" s="39"/>
      <x:c r="F2" s="39"/>
      <x:c r="G2" s="39"/>
      <x:c r="H2" s="39"/>
      <x:c r="I2" s="39"/>
      <x:c r="J2" s="39"/>
      <x:c r="K2" s="39"/>
      <x:c r="L2" s="39"/>
      <x:c r="M2" s="39"/>
    </x:row>
    <x:row r="4">
      <x:c r="A4" s="47" t="s">
        <x:v>23</x:v>
      </x:c>
      <x:c r="B4" s="48"/>
      <x:c r="C4" s="48"/>
      <x:c r="D4" s="48"/>
      <x:c r="E4" s="48"/>
      <x:c r="F4" s="48"/>
      <x:c r="G4" s="48"/>
      <x:c r="H4" s="48"/>
      <x:c r="I4" s="48"/>
      <x:c r="J4" s="48"/>
      <x:c r="K4" s="48"/>
      <x:c r="L4" s="48"/>
      <x:c r="M4" s="49"/>
    </x:row>
    <x:row r="5">
      <x:c r="A5" s="50"/>
      <x:c r="B5" s="51"/>
      <x:c r="C5" s="51"/>
      <x:c r="D5" s="51"/>
      <x:c r="E5" s="51"/>
      <x:c r="F5" s="51"/>
      <x:c r="G5" s="51"/>
      <x:c r="H5" s="51"/>
      <x:c r="I5" s="51"/>
      <x:c r="J5" s="51"/>
      <x:c r="K5" s="51"/>
      <x:c r="L5" s="51"/>
      <x:c r="M5" s="52"/>
    </x:row>
    <x:row r="7" ht="42" customHeight="1">
      <x:c r="A7" s="1" t="s">
        <x:v>24</x:v>
      </x:c>
      <x:c r="B7" s="2" t="s">
        <x:v>25</x:v>
      </x:c>
      <x:c r="C7" s="2" t="s">
        <x:v>26</x:v>
      </x:c>
      <x:c r="D7" s="2" t="s">
        <x:v>27</x:v>
      </x:c>
      <x:c r="E7" s="2" t="s">
        <x:v>28</x:v>
      </x:c>
      <x:c r="F7" s="2" t="s">
        <x:v>29</x:v>
      </x:c>
      <x:c r="G7" s="2" t="s">
        <x:v>6</x:v>
      </x:c>
      <x:c r="H7" s="2" t="s">
        <x:v>30</x:v>
      </x:c>
      <x:c r="I7" s="2" t="s">
        <x:v>31</x:v>
      </x:c>
      <x:c r="J7" s="2" t="s">
        <x:v>32</x:v>
      </x:c>
      <x:c r="K7" s="2" t="s">
        <x:v>11</x:v>
      </x:c>
      <x:c r="L7" s="2" t="s">
        <x:v>33</x:v>
      </x:c>
      <x:c r="M7" s="3" t="s">
        <x:v>34</x:v>
      </x:c>
    </x:row>
    <x:row r="8" ht="57" customHeight="1">
      <x:c r="A8" s="4" t="s">
        <x:v>35</x:v>
      </x:c>
      <x:c r="B8" s="5" t="s">
        <x:v>36</x:v>
      </x:c>
      <x:c r="C8" s="6" t="s">
        <x:v>37</x:v>
      </x:c>
      <x:c r="D8" s="5" t="s">
        <x:v>38</x:v>
      </x:c>
      <x:c r="E8" s="5" t="s">
        <x:v>39</x:v>
      </x:c>
      <x:c r="F8" s="6" t="s">
        <x:v>40</x:v>
      </x:c>
      <x:c r="G8" s="5" t="s">
        <x:v>4</x:v>
      </x:c>
      <x:c r="H8" s="7" t="s">
        <x:v>41</x:v>
      </x:c>
      <x:c r="I8" s="5" t="s">
        <x:v>42</x:v>
      </x:c>
      <x:c r="J8" s="5" t="s">
        <x:v>43</x:v>
      </x:c>
      <x:c r="K8" s="5" t="s">
        <x:v>14</x:v>
      </x:c>
      <x:c r="L8" s="5"/>
      <x:c r="M8" s="8" t="s">
        <x:v>44</x:v>
      </x:c>
    </x:row>
    <x:row r="9" ht="57" customHeight="1">
      <x:c r="A9" s="4" t="s">
        <x:v>45</x:v>
      </x:c>
      <x:c r="B9" s="5" t="s">
        <x:v>36</x:v>
      </x:c>
      <x:c r="C9" s="6" t="s">
        <x:v>46</x:v>
      </x:c>
      <x:c r="D9" s="5" t="s">
        <x:v>47</x:v>
      </x:c>
      <x:c r="E9" s="5" t="s">
        <x:v>48</x:v>
      </x:c>
      <x:c r="F9" s="6" t="s">
        <x:v>49</x:v>
      </x:c>
      <x:c r="G9" s="5" t="s">
        <x:v>3</x:v>
      </x:c>
      <x:c r="H9" s="7" t="s">
        <x:v>50</x:v>
      </x:c>
      <x:c r="I9" s="5" t="s">
        <x:v>42</x:v>
      </x:c>
      <x:c r="J9" s="5" t="s">
        <x:v>43</x:v>
      </x:c>
      <x:c r="K9" s="5" t="s">
        <x:v>14</x:v>
      </x:c>
      <x:c r="L9" s="5"/>
      <x:c r="M9" s="8" t="s">
        <x:v>51</x:v>
      </x:c>
    </x:row>
    <x:row r="10" ht="57" customHeight="1">
      <x:c r="A10" s="4" t="s">
        <x:v>52</x:v>
      </x:c>
      <x:c r="B10" s="5" t="s">
        <x:v>36</x:v>
      </x:c>
      <x:c r="C10" s="6" t="s">
        <x:v>53</x:v>
      </x:c>
      <x:c r="D10" s="5" t="s">
        <x:v>54</x:v>
      </x:c>
      <x:c r="E10" s="5" t="s">
        <x:v>55</x:v>
      </x:c>
      <x:c r="F10" s="6" t="s">
        <x:v>56</x:v>
      </x:c>
      <x:c r="G10" s="5" t="s">
        <x:v>3</x:v>
      </x:c>
      <x:c r="H10" s="7" t="s">
        <x:v>57</x:v>
      </x:c>
      <x:c r="I10" s="5" t="s">
        <x:v>58</x:v>
      </x:c>
      <x:c r="J10" s="5" t="s">
        <x:v>59</x:v>
      </x:c>
      <x:c r="K10" s="5" t="s">
        <x:v>14</x:v>
      </x:c>
      <x:c r="L10" s="5"/>
      <x:c r="M10" s="8" t="s">
        <x:v>60</x:v>
      </x:c>
    </x:row>
    <x:row r="11" ht="57" customHeight="1">
      <x:c r="A11" s="4" t="s">
        <x:v>61</x:v>
      </x:c>
      <x:c r="B11" s="5" t="s">
        <x:v>36</x:v>
      </x:c>
      <x:c r="C11" s="6" t="s">
        <x:v>62</x:v>
      </x:c>
      <x:c r="D11" s="5" t="s">
        <x:v>63</x:v>
      </x:c>
      <x:c r="E11" s="5" t="s">
        <x:v>64</x:v>
      </x:c>
      <x:c r="F11" s="6" t="s">
        <x:v>65</x:v>
      </x:c>
      <x:c r="G11" s="5" t="s">
        <x:v>3</x:v>
      </x:c>
      <x:c r="H11" s="7" t="s">
        <x:v>66</x:v>
      </x:c>
      <x:c r="I11" s="5" t="s">
        <x:v>42</x:v>
      </x:c>
      <x:c r="J11" s="5" t="s">
        <x:v>59</x:v>
      </x:c>
      <x:c r="K11" s="5" t="s">
        <x:v>16</x:v>
      </x:c>
      <x:c r="L11" s="6" t="s">
        <x:v>67</x:v>
      </x:c>
      <x:c r="M11" s="8" t="s">
        <x:v>68</x:v>
      </x:c>
    </x:row>
    <x:row r="12" ht="57" customHeight="1">
      <x:c r="A12" s="4" t="s">
        <x:v>69</x:v>
      </x:c>
      <x:c r="B12" s="5" t="s">
        <x:v>36</x:v>
      </x:c>
      <x:c r="C12" s="6" t="s">
        <x:v>70</x:v>
      </x:c>
      <x:c r="D12" s="5" t="s">
        <x:v>38</x:v>
      </x:c>
      <x:c r="E12" s="5" t="s">
        <x:v>71</x:v>
      </x:c>
      <x:c r="F12" s="6" t="s">
        <x:v>72</x:v>
      </x:c>
      <x:c r="G12" s="5" t="s">
        <x:v>3</x:v>
      </x:c>
      <x:c r="H12" s="7" t="s">
        <x:v>73</x:v>
      </x:c>
      <x:c r="I12" s="5" t="s">
        <x:v>58</x:v>
      </x:c>
      <x:c r="J12" s="5" t="s">
        <x:v>59</x:v>
      </x:c>
      <x:c r="K12" s="5" t="s">
        <x:v>14</x:v>
      </x:c>
      <x:c r="L12" s="6"/>
      <x:c r="M12" s="8" t="s">
        <x:v>74</x:v>
      </x:c>
    </x:row>
    <x:row r="13" ht="57" customHeight="1">
      <x:c r="A13" s="4" t="s">
        <x:v>75</x:v>
      </x:c>
      <x:c r="B13" s="5" t="s">
        <x:v>36</x:v>
      </x:c>
      <x:c r="C13" s="6" t="s">
        <x:v>76</x:v>
      </x:c>
      <x:c r="D13" s="5" t="s">
        <x:v>77</x:v>
      </x:c>
      <x:c r="E13" s="5" t="s">
        <x:v>78</x:v>
      </x:c>
      <x:c r="F13" s="6" t="s">
        <x:v>79</x:v>
      </x:c>
      <x:c r="G13" s="5" t="s">
        <x:v>3</x:v>
      </x:c>
      <x:c r="H13" s="7" t="s">
        <x:v>80</x:v>
      </x:c>
      <x:c r="I13" s="5" t="s">
        <x:v>42</x:v>
      </x:c>
      <x:c r="J13" s="5" t="s">
        <x:v>81</x:v>
      </x:c>
      <x:c r="K13" s="5" t="s">
        <x:v>14</x:v>
      </x:c>
      <x:c r="L13" s="6"/>
      <x:c r="M13" s="8" t="s">
        <x:v>82</x:v>
      </x:c>
    </x:row>
    <x:row r="14" ht="57" customHeight="1">
      <x:c r="A14" s="4" t="s">
        <x:v>83</x:v>
      </x:c>
      <x:c r="B14" s="5" t="s">
        <x:v>36</x:v>
      </x:c>
      <x:c r="C14" s="6" t="s">
        <x:v>84</x:v>
      </x:c>
      <x:c r="D14" s="5" t="s">
        <x:v>85</x:v>
      </x:c>
      <x:c r="E14" s="5" t="s">
        <x:v>86</x:v>
      </x:c>
      <x:c r="F14" s="6" t="s">
        <x:v>87</x:v>
      </x:c>
      <x:c r="G14" s="5" t="s">
        <x:v>3</x:v>
      </x:c>
      <x:c r="H14" s="7" t="s">
        <x:v>88</x:v>
      </x:c>
      <x:c r="I14" s="5" t="s">
        <x:v>42</x:v>
      </x:c>
      <x:c r="J14" s="5" t="s">
        <x:v>89</x:v>
      </x:c>
      <x:c r="K14" s="5" t="s">
        <x:v>14</x:v>
      </x:c>
      <x:c r="L14" s="6"/>
      <x:c r="M14" s="8" t="s">
        <x:v>90</x:v>
      </x:c>
    </x:row>
    <x:row r="15" ht="57" customHeight="1">
      <x:c r="A15" s="4" t="s">
        <x:v>91</x:v>
      </x:c>
      <x:c r="B15" s="5" t="s">
        <x:v>36</x:v>
      </x:c>
      <x:c r="C15" s="6" t="s">
        <x:v>92</x:v>
      </x:c>
      <x:c r="D15" s="5" t="s">
        <x:v>93</x:v>
      </x:c>
      <x:c r="E15" s="5" t="s">
        <x:v>94</x:v>
      </x:c>
      <x:c r="F15" s="6" t="s">
        <x:v>95</x:v>
      </x:c>
      <x:c r="G15" s="5" t="s">
        <x:v>3</x:v>
      </x:c>
      <x:c r="H15" s="7" t="s">
        <x:v>96</x:v>
      </x:c>
      <x:c r="I15" s="5" t="s">
        <x:v>42</x:v>
      </x:c>
      <x:c r="J15" s="5" t="s">
        <x:v>59</x:v>
      </x:c>
      <x:c r="K15" s="5" t="s">
        <x:v>14</x:v>
      </x:c>
      <x:c r="L15" s="6"/>
      <x:c r="M15" s="8" t="s">
        <x:v>97</x:v>
      </x:c>
    </x:row>
    <x:row r="16" ht="57" customHeight="1">
      <x:c r="A16" s="4" t="s">
        <x:v>98</x:v>
      </x:c>
      <x:c r="B16" s="5" t="s">
        <x:v>36</x:v>
      </x:c>
      <x:c r="C16" s="6" t="s">
        <x:v>99</x:v>
      </x:c>
      <x:c r="D16" s="5" t="s">
        <x:v>93</x:v>
      </x:c>
      <x:c r="E16" s="5" t="s">
        <x:v>100</x:v>
      </x:c>
      <x:c r="F16" s="6" t="s">
        <x:v>101</x:v>
      </x:c>
      <x:c r="G16" s="5" t="s">
        <x:v>3</x:v>
      </x:c>
      <x:c r="H16" s="7" t="s">
        <x:v>102</x:v>
      </x:c>
      <x:c r="I16" s="5" t="s">
        <x:v>42</x:v>
      </x:c>
      <x:c r="J16" s="5" t="s">
        <x:v>59</x:v>
      </x:c>
      <x:c r="K16" s="5" t="s">
        <x:v>14</x:v>
      </x:c>
      <x:c r="L16" s="6"/>
      <x:c r="M16" s="8" t="s">
        <x:v>103</x:v>
      </x:c>
    </x:row>
    <x:row r="17" ht="57" customHeight="1">
      <x:c r="A17" s="4" t="s">
        <x:v>104</x:v>
      </x:c>
      <x:c r="B17" s="5" t="s">
        <x:v>36</x:v>
      </x:c>
      <x:c r="C17" s="6" t="s">
        <x:v>105</x:v>
      </x:c>
      <x:c r="D17" s="5" t="s">
        <x:v>106</x:v>
      </x:c>
      <x:c r="E17" s="5" t="s">
        <x:v>107</x:v>
      </x:c>
      <x:c r="F17" s="6" t="s">
        <x:v>108</x:v>
      </x:c>
      <x:c r="G17" s="5" t="s">
        <x:v>3</x:v>
      </x:c>
      <x:c r="H17" s="7" t="s">
        <x:v>109</x:v>
      </x:c>
      <x:c r="I17" s="5" t="s">
        <x:v>42</x:v>
      </x:c>
      <x:c r="J17" s="5" t="s">
        <x:v>81</x:v>
      </x:c>
      <x:c r="K17" s="5" t="s">
        <x:v>14</x:v>
      </x:c>
      <x:c r="L17" s="6"/>
      <x:c r="M17" s="8" t="s">
        <x:v>110</x:v>
      </x:c>
    </x:row>
    <x:row r="18" ht="57" customHeight="1">
      <x:c r="A18" s="4" t="s">
        <x:v>111</x:v>
      </x:c>
      <x:c r="B18" s="5" t="s">
        <x:v>36</x:v>
      </x:c>
      <x:c r="C18" s="6" t="s">
        <x:v>112</x:v>
      </x:c>
      <x:c r="D18" s="5" t="s">
        <x:v>106</x:v>
      </x:c>
      <x:c r="E18" s="5" t="s">
        <x:v>113</x:v>
      </x:c>
      <x:c r="F18" s="6" t="s">
        <x:v>114</x:v>
      </x:c>
      <x:c r="G18" s="5" t="s">
        <x:v>3</x:v>
      </x:c>
      <x:c r="H18" s="7" t="s">
        <x:v>115</x:v>
      </x:c>
      <x:c r="I18" s="5" t="s">
        <x:v>42</x:v>
      </x:c>
      <x:c r="J18" s="5" t="s">
        <x:v>81</x:v>
      </x:c>
      <x:c r="K18" s="5" t="s">
        <x:v>14</x:v>
      </x:c>
      <x:c r="L18" s="6"/>
      <x:c r="M18" s="8" t="s">
        <x:v>116</x:v>
      </x:c>
    </x:row>
    <x:row r="19" ht="57" customHeight="1">
      <x:c r="A19" s="4" t="s">
        <x:v>117</x:v>
      </x:c>
      <x:c r="B19" s="5" t="s">
        <x:v>36</x:v>
      </x:c>
      <x:c r="C19" s="6" t="s">
        <x:v>118</x:v>
      </x:c>
      <x:c r="D19" s="5" t="s">
        <x:v>119</x:v>
      </x:c>
      <x:c r="E19" s="5" t="s">
        <x:v>120</x:v>
      </x:c>
      <x:c r="F19" s="6" t="s">
        <x:v>121</x:v>
      </x:c>
      <x:c r="G19" s="5" t="s">
        <x:v>3</x:v>
      </x:c>
      <x:c r="H19" s="7" t="s">
        <x:v>122</x:v>
      </x:c>
      <x:c r="I19" s="5" t="s">
        <x:v>42</x:v>
      </x:c>
      <x:c r="J19" s="5" t="s">
        <x:v>43</x:v>
      </x:c>
      <x:c r="K19" s="5" t="s">
        <x:v>16</x:v>
      </x:c>
      <x:c r="L19" s="6" t="s">
        <x:v>123</x:v>
      </x:c>
      <x:c r="M19" s="8" t="s">
        <x:v>124</x:v>
      </x:c>
    </x:row>
    <x:row r="20" ht="57" customHeight="1">
      <x:c r="A20" s="4" t="s">
        <x:v>125</x:v>
      </x:c>
      <x:c r="B20" s="5" t="s">
        <x:v>36</x:v>
      </x:c>
      <x:c r="C20" s="6" t="s">
        <x:v>126</x:v>
      </x:c>
      <x:c r="D20" s="5" t="s">
        <x:v>119</x:v>
      </x:c>
      <x:c r="E20" s="5" t="s">
        <x:v>127</x:v>
      </x:c>
      <x:c r="F20" s="6" t="s">
        <x:v>128</x:v>
      </x:c>
      <x:c r="G20" s="5" t="s">
        <x:v>3</x:v>
      </x:c>
      <x:c r="H20" s="7" t="str">
        <x:v>Manual retest and corrected Playwright automation confirmed that quantity 4 can be selected on the product-detail page and is displayed correctly in the cart with the expected line total.</x:v>
      </x:c>
      <x:c r="I20" s="5" t="str">
        <x:v>Functional | Positive</x:v>
      </x:c>
      <x:c r="J20" s="5" t="str">
        <x:v>High</x:v>
      </x:c>
      <x:c r="K20" s="5" t="str">
        <x:v>Pass</x:v>
      </x:c>
      <x:c r="L20" s="6" t="str">
        <x:v>AE-BUG-004</x:v>
      </x:c>
      <x:c r="M20" s="8" t="str">
        <x:v>No immediate coverage gap. Retain AE-CART-002 in regression and preserve AE-BUG-004 as a rejected defect record.</x:v>
      </x:c>
    </x:row>
    <x:row r="21" ht="57" customHeight="1">
      <x:c r="A21" s="4" t="s">
        <x:v>129</x:v>
      </x:c>
      <x:c r="B21" s="5" t="s">
        <x:v>36</x:v>
      </x:c>
      <x:c r="C21" s="6" t="s">
        <x:v>130</x:v>
      </x:c>
      <x:c r="D21" s="5" t="s">
        <x:v>131</x:v>
      </x:c>
      <x:c r="E21" s="5" t="s">
        <x:v>132</x:v>
      </x:c>
      <x:c r="F21" s="6"/>
      <x:c r="G21" s="5" t="s">
        <x:v>5</x:v>
      </x:c>
      <x:c r="H21" s="7" t="s">
        <x:v>133</x:v>
      </x:c>
      <x:c r="I21" s="5" t="s">
        <x:v>134</x:v>
      </x:c>
      <x:c r="J21" s="5" t="s">
        <x:v>43</x:v>
      </x:c>
      <x:c r="K21" s="5" t="s">
        <x:v>18</x:v>
      </x:c>
      <x:c r="L21" s="6"/>
      <x:c r="M21" s="8" t="s">
        <x:v>135</x:v>
      </x:c>
    </x:row>
    <x:row r="22" ht="57" customHeight="1">
      <x:c r="A22" s="4" t="s">
        <x:v>136</x:v>
      </x:c>
      <x:c r="B22" s="5" t="s">
        <x:v>36</x:v>
      </x:c>
      <x:c r="C22" s="6" t="s">
        <x:v>137</x:v>
      </x:c>
      <x:c r="D22" s="5" t="s">
        <x:v>131</x:v>
      </x:c>
      <x:c r="E22" s="5" t="s">
        <x:v>138</x:v>
      </x:c>
      <x:c r="F22" s="6"/>
      <x:c r="G22" s="5" t="s">
        <x:v>5</x:v>
      </x:c>
      <x:c r="H22" s="7" t="s">
        <x:v>139</x:v>
      </x:c>
      <x:c r="I22" s="5" t="s">
        <x:v>134</x:v>
      </x:c>
      <x:c r="J22" s="5" t="s">
        <x:v>43</x:v>
      </x:c>
      <x:c r="K22" s="5" t="s">
        <x:v>18</x:v>
      </x:c>
      <x:c r="L22" s="6"/>
      <x:c r="M22" s="8" t="s">
        <x:v>140</x:v>
      </x:c>
    </x:row>
    <x:row r="23" ht="57" customHeight="1">
      <x:c r="A23" s="4" t="s">
        <x:v>141</x:v>
      </x:c>
      <x:c r="B23" s="5" t="s">
        <x:v>36</x:v>
      </x:c>
      <x:c r="C23" s="6" t="s">
        <x:v>142</x:v>
      </x:c>
      <x:c r="D23" s="5" t="s">
        <x:v>131</x:v>
      </x:c>
      <x:c r="E23" s="5" t="s">
        <x:v>143</x:v>
      </x:c>
      <x:c r="F23" s="6"/>
      <x:c r="G23" s="5" t="s">
        <x:v>5</x:v>
      </x:c>
      <x:c r="H23" s="7" t="s">
        <x:v>144</x:v>
      </x:c>
      <x:c r="I23" s="5" t="s">
        <x:v>134</x:v>
      </x:c>
      <x:c r="J23" s="5" t="s">
        <x:v>43</x:v>
      </x:c>
      <x:c r="K23" s="5" t="s">
        <x:v>18</x:v>
      </x:c>
      <x:c r="L23" s="6"/>
      <x:c r="M23" s="8" t="s">
        <x:v>145</x:v>
      </x:c>
    </x:row>
    <x:row r="24" ht="57" customHeight="1">
      <x:c r="A24" s="4" t="s">
        <x:v>146</x:v>
      </x:c>
      <x:c r="B24" s="5" t="s">
        <x:v>36</x:v>
      </x:c>
      <x:c r="C24" s="6" t="s">
        <x:v>147</x:v>
      </x:c>
      <x:c r="D24" s="5" t="s">
        <x:v>119</x:v>
      </x:c>
      <x:c r="E24" s="5" t="s">
        <x:v>148</x:v>
      </x:c>
      <x:c r="F24" s="6" t="s">
        <x:v>149</x:v>
      </x:c>
      <x:c r="G24" s="5" t="s">
        <x:v>3</x:v>
      </x:c>
      <x:c r="H24" s="7" t="s">
        <x:v>150</x:v>
      </x:c>
      <x:c r="I24" s="5" t="s">
        <x:v>42</x:v>
      </x:c>
      <x:c r="J24" s="5" t="s">
        <x:v>59</x:v>
      </x:c>
      <x:c r="K24" s="5" t="s">
        <x:v>14</x:v>
      </x:c>
      <x:c r="L24" s="6"/>
      <x:c r="M24" s="8" t="s">
        <x:v>151</x:v>
      </x:c>
    </x:row>
    <x:row r="25" ht="57" customHeight="1">
      <x:c r="A25" s="4" t="s">
        <x:v>152</x:v>
      </x:c>
      <x:c r="B25" s="5" t="s">
        <x:v>36</x:v>
      </x:c>
      <x:c r="C25" s="6" t="s">
        <x:v>153</x:v>
      </x:c>
      <x:c r="D25" s="5" t="s">
        <x:v>154</x:v>
      </x:c>
      <x:c r="E25" s="5" t="s">
        <x:v>155</x:v>
      </x:c>
      <x:c r="F25" s="6"/>
      <x:c r="G25" s="5" t="s">
        <x:v>5</x:v>
      </x:c>
      <x:c r="H25" s="7" t="s">
        <x:v>156</x:v>
      </x:c>
      <x:c r="I25" s="5" t="s">
        <x:v>42</x:v>
      </x:c>
      <x:c r="J25" s="5" t="s">
        <x:v>81</x:v>
      </x:c>
      <x:c r="K25" s="5" t="s">
        <x:v>18</x:v>
      </x:c>
      <x:c r="L25" s="6"/>
      <x:c r="M25" s="8" t="s">
        <x:v>157</x:v>
      </x:c>
    </x:row>
    <x:row r="26" ht="57" customHeight="1">
      <x:c r="A26" s="4" t="s">
        <x:v>158</x:v>
      </x:c>
      <x:c r="B26" s="5" t="s">
        <x:v>36</x:v>
      </x:c>
      <x:c r="C26" s="6" t="s">
        <x:v>159</x:v>
      </x:c>
      <x:c r="D26" s="5" t="s">
        <x:v>154</x:v>
      </x:c>
      <x:c r="E26" s="5" t="s">
        <x:v>160</x:v>
      </x:c>
      <x:c r="F26" s="6"/>
      <x:c r="G26" s="5" t="s">
        <x:v>5</x:v>
      </x:c>
      <x:c r="H26" s="7" t="s">
        <x:v>161</x:v>
      </x:c>
      <x:c r="I26" s="5" t="s">
        <x:v>42</x:v>
      </x:c>
      <x:c r="J26" s="5" t="s">
        <x:v>81</x:v>
      </x:c>
      <x:c r="K26" s="5" t="s">
        <x:v>18</x:v>
      </x:c>
      <x:c r="L26" s="6"/>
      <x:c r="M26" s="8" t="s">
        <x:v>162</x:v>
      </x:c>
    </x:row>
    <x:row r="27" ht="57" customHeight="1">
      <x:c r="A27" s="4" t="s">
        <x:v>163</x:v>
      </x:c>
      <x:c r="B27" s="5" t="s">
        <x:v>36</x:v>
      </x:c>
      <x:c r="C27" s="6" t="s">
        <x:v>164</x:v>
      </x:c>
      <x:c r="D27" s="5" t="s">
        <x:v>165</x:v>
      </x:c>
      <x:c r="E27" s="5" t="s">
        <x:v>166</x:v>
      </x:c>
      <x:c r="F27" s="6"/>
      <x:c r="G27" s="5" t="s">
        <x:v>5</x:v>
      </x:c>
      <x:c r="H27" s="7" t="s">
        <x:v>167</x:v>
      </x:c>
      <x:c r="I27" s="5" t="s">
        <x:v>134</x:v>
      </x:c>
      <x:c r="J27" s="5" t="s">
        <x:v>59</x:v>
      </x:c>
      <x:c r="K27" s="5" t="s">
        <x:v>18</x:v>
      </x:c>
      <x:c r="L27" s="6"/>
      <x:c r="M27" s="8" t="s">
        <x:v>168</x:v>
      </x:c>
    </x:row>
    <x:row r="28" ht="57" customHeight="1">
      <x:c r="A28" s="4" t="s">
        <x:v>169</x:v>
      </x:c>
      <x:c r="B28" s="5" t="s">
        <x:v>36</x:v>
      </x:c>
      <x:c r="C28" s="6" t="s">
        <x:v>170</x:v>
      </x:c>
      <x:c r="D28" s="5" t="s">
        <x:v>171</x:v>
      </x:c>
      <x:c r="E28" s="5" t="s">
        <x:v>172</x:v>
      </x:c>
      <x:c r="F28" s="6"/>
      <x:c r="G28" s="5" t="s">
        <x:v>5</x:v>
      </x:c>
      <x:c r="H28" s="7" t="s">
        <x:v>173</x:v>
      </x:c>
      <x:c r="I28" s="5" t="s">
        <x:v>42</x:v>
      </x:c>
      <x:c r="J28" s="5" t="s">
        <x:v>81</x:v>
      </x:c>
      <x:c r="K28" s="5" t="s">
        <x:v>18</x:v>
      </x:c>
      <x:c r="L28" s="6"/>
      <x:c r="M28" s="8" t="s">
        <x:v>174</x:v>
      </x:c>
    </x:row>
    <x:row r="29" ht="57" customHeight="1">
      <x:c r="A29" s="4" t="s">
        <x:v>175</x:v>
      </x:c>
      <x:c r="B29" s="5" t="s">
        <x:v>36</x:v>
      </x:c>
      <x:c r="C29" s="6" t="s">
        <x:v>176</x:v>
      </x:c>
      <x:c r="D29" s="5" t="s">
        <x:v>177</x:v>
      </x:c>
      <x:c r="E29" s="5" t="s">
        <x:v>178</x:v>
      </x:c>
      <x:c r="F29" s="6"/>
      <x:c r="G29" s="5" t="s">
        <x:v>5</x:v>
      </x:c>
      <x:c r="H29" s="7" t="s">
        <x:v>179</x:v>
      </x:c>
      <x:c r="I29" s="5" t="s">
        <x:v>42</x:v>
      </x:c>
      <x:c r="J29" s="5" t="s">
        <x:v>81</x:v>
      </x:c>
      <x:c r="K29" s="5" t="s">
        <x:v>18</x:v>
      </x:c>
      <x:c r="L29" s="6"/>
      <x:c r="M29" s="8" t="s">
        <x:v>180</x:v>
      </x:c>
    </x:row>
    <x:row r="30" ht="57" customHeight="1">
      <x:c r="A30" s="4" t="s">
        <x:v>181</x:v>
      </x:c>
      <x:c r="B30" s="5" t="s">
        <x:v>36</x:v>
      </x:c>
      <x:c r="C30" s="6" t="s">
        <x:v>182</x:v>
      </x:c>
      <x:c r="D30" s="5" t="s">
        <x:v>131</x:v>
      </x:c>
      <x:c r="E30" s="5" t="s">
        <x:v>183</x:v>
      </x:c>
      <x:c r="F30" s="6"/>
      <x:c r="G30" s="5" t="s">
        <x:v>5</x:v>
      </x:c>
      <x:c r="H30" s="7" t="s">
        <x:v>184</x:v>
      </x:c>
      <x:c r="I30" s="5" t="s">
        <x:v>42</x:v>
      </x:c>
      <x:c r="J30" s="5" t="s">
        <x:v>43</x:v>
      </x:c>
      <x:c r="K30" s="5" t="s">
        <x:v>18</x:v>
      </x:c>
      <x:c r="L30" s="6"/>
      <x:c r="M30" s="8" t="s">
        <x:v>185</x:v>
      </x:c>
    </x:row>
    <x:row r="31" ht="57" customHeight="1">
      <x:c r="A31" s="4" t="s">
        <x:v>186</x:v>
      </x:c>
      <x:c r="B31" s="5" t="s">
        <x:v>36</x:v>
      </x:c>
      <x:c r="C31" s="6" t="s">
        <x:v>187</x:v>
      </x:c>
      <x:c r="D31" s="5" t="s">
        <x:v>188</x:v>
      </x:c>
      <x:c r="E31" s="5" t="s">
        <x:v>189</x:v>
      </x:c>
      <x:c r="F31" s="6"/>
      <x:c r="G31" s="5" t="s">
        <x:v>5</x:v>
      </x:c>
      <x:c r="H31" s="7" t="s">
        <x:v>190</x:v>
      </x:c>
      <x:c r="I31" s="5" t="s">
        <x:v>134</x:v>
      </x:c>
      <x:c r="J31" s="5" t="s">
        <x:v>59</x:v>
      </x:c>
      <x:c r="K31" s="5" t="s">
        <x:v>18</x:v>
      </x:c>
      <x:c r="L31" s="6"/>
      <x:c r="M31" s="8" t="s">
        <x:v>191</x:v>
      </x:c>
    </x:row>
    <x:row r="32" ht="57" customHeight="1">
      <x:c r="A32" s="4" t="s">
        <x:v>192</x:v>
      </x:c>
      <x:c r="B32" s="5" t="s">
        <x:v>36</x:v>
      </x:c>
      <x:c r="C32" s="6" t="s">
        <x:v>193</x:v>
      </x:c>
      <x:c r="D32" s="5" t="s">
        <x:v>85</x:v>
      </x:c>
      <x:c r="E32" s="5" t="s">
        <x:v>194</x:v>
      </x:c>
      <x:c r="F32" s="6"/>
      <x:c r="G32" s="5" t="s">
        <x:v>5</x:v>
      </x:c>
      <x:c r="H32" s="7" t="s">
        <x:v>195</x:v>
      </x:c>
      <x:c r="I32" s="5" t="s">
        <x:v>42</x:v>
      </x:c>
      <x:c r="J32" s="5" t="s">
        <x:v>89</x:v>
      </x:c>
      <x:c r="K32" s="5" t="s">
        <x:v>18</x:v>
      </x:c>
      <x:c r="L32" s="6"/>
      <x:c r="M32" s="8" t="s">
        <x:v>196</x:v>
      </x:c>
    </x:row>
    <x:row r="33" ht="57" customHeight="1">
      <x:c r="A33" s="4" t="s">
        <x:v>197</x:v>
      </x:c>
      <x:c r="B33" s="5" t="s">
        <x:v>36</x:v>
      </x:c>
      <x:c r="C33" s="6" t="s">
        <x:v>198</x:v>
      </x:c>
      <x:c r="D33" s="5" t="s">
        <x:v>85</x:v>
      </x:c>
      <x:c r="E33" s="5" t="s">
        <x:v>199</x:v>
      </x:c>
      <x:c r="F33" s="6"/>
      <x:c r="G33" s="5" t="s">
        <x:v>5</x:v>
      </x:c>
      <x:c r="H33" s="7" t="s">
        <x:v>200</x:v>
      </x:c>
      <x:c r="I33" s="5" t="s">
        <x:v>42</x:v>
      </x:c>
      <x:c r="J33" s="5" t="s">
        <x:v>89</x:v>
      </x:c>
      <x:c r="K33" s="5" t="s">
        <x:v>18</x:v>
      </x:c>
      <x:c r="L33" s="6"/>
      <x:c r="M33" s="8" t="s">
        <x:v>201</x:v>
      </x:c>
    </x:row>
    <x:row r="34" ht="57" customHeight="1">
      <x:c r="A34" s="4" t="s">
        <x:v>202</x:v>
      </x:c>
      <x:c r="B34" s="5" t="s">
        <x:v>10</x:v>
      </x:c>
      <x:c r="C34" s="6" t="s">
        <x:v>203</x:v>
      </x:c>
      <x:c r="D34" s="5" t="s">
        <x:v>38</x:v>
      </x:c>
      <x:c r="E34" s="5" t="s">
        <x:v>204</x:v>
      </x:c>
      <x:c r="F34" s="6" t="s">
        <x:v>205</x:v>
      </x:c>
      <x:c r="G34" s="5" t="s">
        <x:v>3</x:v>
      </x:c>
      <x:c r="H34" s="7" t="s">
        <x:v>206</x:v>
      </x:c>
      <x:c r="I34" s="5" t="s">
        <x:v>58</x:v>
      </x:c>
      <x:c r="J34" s="5" t="s">
        <x:v>59</x:v>
      </x:c>
      <x:c r="K34" s="5" t="s">
        <x:v>14</x:v>
      </x:c>
      <x:c r="L34" s="6"/>
      <x:c r="M34" s="8" t="s">
        <x:v>207</x:v>
      </x:c>
    </x:row>
    <x:row r="35" ht="57" customHeight="1">
      <x:c r="A35" s="4" t="s">
        <x:v>208</x:v>
      </x:c>
      <x:c r="B35" s="5" t="s">
        <x:v>10</x:v>
      </x:c>
      <x:c r="C35" s="6" t="s">
        <x:v>209</x:v>
      </x:c>
      <x:c r="D35" s="5" t="s">
        <x:v>38</x:v>
      </x:c>
      <x:c r="E35" s="5" t="s">
        <x:v>210</x:v>
      </x:c>
      <x:c r="F35" s="6" t="s">
        <x:v>211</x:v>
      </x:c>
      <x:c r="G35" s="5" t="s">
        <x:v>3</x:v>
      </x:c>
      <x:c r="H35" s="7" t="s">
        <x:v>212</x:v>
      </x:c>
      <x:c r="I35" s="5" t="s">
        <x:v>58</x:v>
      </x:c>
      <x:c r="J35" s="5" t="s">
        <x:v>59</x:v>
      </x:c>
      <x:c r="K35" s="5" t="s">
        <x:v>14</x:v>
      </x:c>
      <x:c r="L35" s="6"/>
      <x:c r="M35" s="8" t="s">
        <x:v>213</x:v>
      </x:c>
    </x:row>
    <x:row r="36" ht="57" customHeight="1">
      <x:c r="A36" s="4" t="s">
        <x:v>214</x:v>
      </x:c>
      <x:c r="B36" s="5" t="s">
        <x:v>10</x:v>
      </x:c>
      <x:c r="C36" s="6" t="s">
        <x:v>215</x:v>
      </x:c>
      <x:c r="D36" s="5" t="s">
        <x:v>216</x:v>
      </x:c>
      <x:c r="E36" s="5" t="s">
        <x:v>217</x:v>
      </x:c>
      <x:c r="F36" s="6" t="s">
        <x:v>218</x:v>
      </x:c>
      <x:c r="G36" s="5" t="s">
        <x:v>3</x:v>
      </x:c>
      <x:c r="H36" s="7" t="s">
        <x:v>219</x:v>
      </x:c>
      <x:c r="I36" s="5" t="s">
        <x:v>220</x:v>
      </x:c>
      <x:c r="J36" s="5" t="s">
        <x:v>59</x:v>
      </x:c>
      <x:c r="K36" s="5" t="s">
        <x:v>14</x:v>
      </x:c>
      <x:c r="L36" s="6"/>
      <x:c r="M36" s="8" t="s">
        <x:v>221</x:v>
      </x:c>
    </x:row>
    <x:row r="37" ht="57" customHeight="1">
      <x:c r="A37" s="9" t="s">
        <x:v>222</x:v>
      </x:c>
      <x:c r="B37" s="10" t="s">
        <x:v>10</x:v>
      </x:c>
      <x:c r="C37" s="13" t="s">
        <x:v>223</x:v>
      </x:c>
      <x:c r="D37" s="10" t="s">
        <x:v>224</x:v>
      </x:c>
      <x:c r="E37" s="10" t="s">
        <x:v>225</x:v>
      </x:c>
      <x:c r="F37" s="13" t="s">
        <x:v>226</x:v>
      </x:c>
      <x:c r="G37" s="10" t="s">
        <x:v>3</x:v>
      </x:c>
      <x:c r="H37" s="11" t="s">
        <x:v>227</x:v>
      </x:c>
      <x:c r="I37" s="10" t="s">
        <x:v>42</x:v>
      </x:c>
      <x:c r="J37" s="10" t="s">
        <x:v>59</x:v>
      </x:c>
      <x:c r="K37" s="10" t="s">
        <x:v>14</x:v>
      </x:c>
      <x:c r="L37" s="13"/>
      <x:c r="M37" s="12" t="s">
        <x:v>228</x:v>
      </x:c>
    </x:row>
    <x:row r="38" ht="64" customHeight="1">
      <x:c r="A38" s="23" t="s">
        <x:v>229</x:v>
      </x:c>
      <x:c r="B38" s="23" t="s">
        <x:v>230</x:v>
      </x:c>
      <x:c r="C38" s="23" t="s">
        <x:v>231</x:v>
      </x:c>
      <x:c r="D38" s="23" t="s">
        <x:v>232</x:v>
      </x:c>
      <x:c r="E38" s="23" t="s">
        <x:v>233</x:v>
      </x:c>
      <x:c r="F38" s="23" t="s">
        <x:v>234</x:v>
      </x:c>
      <x:c r="G38" s="23" t="s">
        <x:v>3</x:v>
      </x:c>
      <x:c r="H38" s="25" t="str">
        <x:v>Latest Playwright execution passed the transport, documented JSON responseCode, and payload assertions.</x:v>
      </x:c>
      <x:c r="I38" s="23" t="s">
        <x:v>235</x:v>
      </x:c>
      <x:c r="J38" s="23" t="s">
        <x:v>59</x:v>
      </x:c>
      <x:c r="K38" s="23" t="str">
        <x:v>Pass</x:v>
      </x:c>
      <x:c r="L38" s="55" t="str">
        <x:v>..\API Testing\Execution Results\Screenshots\API-PRODUCT-001.png
..\Automation\Execution Evidence\API-PRODUCT-001.png
..\Automation\test-results\qa-analytics\index.html</x:v>
      </x:c>
      <x:c r="M38" s="56" t="str">
        <x:v>Current verification passed: 200 | products list returned. Historical Postman baseline is retained separately for auditability.</x:v>
      </x:c>
      <x:c r="N38" s="26"/>
      <x:c r="O38" s="26"/>
    </x:row>
    <x:row r="39" ht="64" customHeight="1">
      <x:c r="A39" s="23" t="s">
        <x:v>236</x:v>
      </x:c>
      <x:c r="B39" s="23" t="s">
        <x:v>230</x:v>
      </x:c>
      <x:c r="C39" s="23" t="s">
        <x:v>237</x:v>
      </x:c>
      <x:c r="D39" s="23" t="s">
        <x:v>232</x:v>
      </x:c>
      <x:c r="E39" s="23" t="s">
        <x:v>238</x:v>
      </x:c>
      <x:c r="F39" s="23" t="s">
        <x:v>239</x:v>
      </x:c>
      <x:c r="G39" s="23" t="s">
        <x:v>3</x:v>
      </x:c>
      <x:c r="H39" s="24" t="str">
        <x:v>Latest Playwright execution reached the documented JSON response, but the shared transport-status assertion was incorrect. The helper is corrected and a clean rerun is pending.</x:v>
      </x:c>
      <x:c r="I39" s="23" t="s">
        <x:v>240</x:v>
      </x:c>
      <x:c r="J39" s="23" t="s">
        <x:v>81</x:v>
      </x:c>
      <x:c r="K39" s="23" t="str">
        <x:v>Pass</x:v>
      </x:c>
      <x:c r="L39" s="55" t="str">
        <x:v>..\API Testing\Execution Results\Screenshots\API-PRODUCT-002.png
..\Automation\Execution Evidence\API-PRODUCT-002.png
..\Automation\test-results\qa-analytics\index.html</x:v>
      </x:c>
      <x:c r="M39" s="56" t="str">
        <x:v>Current verification passed: 200 transport | responseCode 405 | method not supported. Historical Postman baseline is retained separately for auditability.</x:v>
      </x:c>
      <x:c r="N39" s="26"/>
      <x:c r="O39" s="26"/>
    </x:row>
    <x:row r="40" ht="64" customHeight="1">
      <x:c r="A40" s="23" t="s">
        <x:v>241</x:v>
      </x:c>
      <x:c r="B40" s="23" t="s">
        <x:v>230</x:v>
      </x:c>
      <x:c r="C40" s="23" t="s">
        <x:v>242</x:v>
      </x:c>
      <x:c r="D40" s="23" t="s">
        <x:v>243</x:v>
      </x:c>
      <x:c r="E40" s="23" t="s">
        <x:v>244</x:v>
      </x:c>
      <x:c r="F40" s="23" t="s">
        <x:v>245</x:v>
      </x:c>
      <x:c r="G40" s="23" t="s">
        <x:v>3</x:v>
      </x:c>
      <x:c r="H40" s="25" t="str">
        <x:v>Latest Playwright execution passed the transport, documented JSON responseCode, and payload assertions.</x:v>
      </x:c>
      <x:c r="I40" s="23" t="s">
        <x:v>235</x:v>
      </x:c>
      <x:c r="J40" s="23" t="s">
        <x:v>59</x:v>
      </x:c>
      <x:c r="K40" s="23" t="str">
        <x:v>Pass</x:v>
      </x:c>
      <x:c r="L40" s="55" t="str">
        <x:v>..\API Testing\Execution Results\Screenshots\API-BRAND-001.png
..\Automation\Execution Evidence\API-BRAND-001.png
..\Automation\test-results\qa-analytics\index.html</x:v>
      </x:c>
      <x:c r="M40" s="56" t="str">
        <x:v>Current verification passed: 200 | brands list returned. Historical Postman baseline is retained separately for auditability.</x:v>
      </x:c>
      <x:c r="N40" s="26"/>
      <x:c r="O40" s="26"/>
    </x:row>
    <x:row r="41" ht="64" customHeight="1">
      <x:c r="A41" s="23" t="s">
        <x:v>246</x:v>
      </x:c>
      <x:c r="B41" s="23" t="s">
        <x:v>230</x:v>
      </x:c>
      <x:c r="C41" s="23" t="s">
        <x:v>247</x:v>
      </x:c>
      <x:c r="D41" s="23" t="s">
        <x:v>243</x:v>
      </x:c>
      <x:c r="E41" s="23" t="s">
        <x:v>248</x:v>
      </x:c>
      <x:c r="F41" s="23" t="s">
        <x:v>249</x:v>
      </x:c>
      <x:c r="G41" s="23" t="s">
        <x:v>3</x:v>
      </x:c>
      <x:c r="H41" s="24" t="str">
        <x:v>Latest Playwright execution reached the documented JSON response, but the shared transport-status assertion was incorrect. The helper is corrected and a clean rerun is pending.</x:v>
      </x:c>
      <x:c r="I41" s="23" t="s">
        <x:v>240</x:v>
      </x:c>
      <x:c r="J41" s="23" t="s">
        <x:v>81</x:v>
      </x:c>
      <x:c r="K41" s="23" t="str">
        <x:v>Pass</x:v>
      </x:c>
      <x:c r="L41" s="55" t="str">
        <x:v>..\API Testing\Execution Results\Screenshots\API-BRAND-002.png
..\Automation\Execution Evidence\API-BRAND-002.png
..\Automation\test-results\qa-analytics\index.html</x:v>
      </x:c>
      <x:c r="M41" s="56" t="str">
        <x:v>Current verification passed: 200 transport | responseCode 405 | method not supported. Historical Postman baseline is retained separately for auditability.</x:v>
      </x:c>
      <x:c r="N41" s="26"/>
      <x:c r="O41" s="26"/>
    </x:row>
    <x:row r="42" ht="64" customHeight="1">
      <x:c r="A42" s="23" t="s">
        <x:v>250</x:v>
      </x:c>
      <x:c r="B42" s="23" t="s">
        <x:v>230</x:v>
      </x:c>
      <x:c r="C42" s="23" t="s">
        <x:v>251</x:v>
      </x:c>
      <x:c r="D42" s="23" t="s">
        <x:v>252</x:v>
      </x:c>
      <x:c r="E42" s="23" t="s">
        <x:v>253</x:v>
      </x:c>
      <x:c r="F42" s="23" t="s">
        <x:v>254</x:v>
      </x:c>
      <x:c r="G42" s="23" t="s">
        <x:v>3</x:v>
      </x:c>
      <x:c r="H42" s="24" t="str">
        <x:v>Latest Playwright execution passed the transport, documented JSON responseCode, and payload assertions.</x:v>
      </x:c>
      <x:c r="I42" s="23" t="s">
        <x:v>235</x:v>
      </x:c>
      <x:c r="J42" s="23" t="s">
        <x:v>59</x:v>
      </x:c>
      <x:c r="K42" s="23" t="str">
        <x:v>Pass</x:v>
      </x:c>
      <x:c r="L42" s="55" t="str">
        <x:v>..\API Testing\Execution Results\Screenshots\API-SEARCH-001.png
..\Automation\Execution Evidence\API-SEARCH-001.png
..\Automation\test-results\qa-analytics\index.html</x:v>
      </x:c>
      <x:c r="M42" s="56" t="str">
        <x:v>Current verification passed: 200 | searched products list returned. Historical Postman baseline is retained separately for auditability.</x:v>
      </x:c>
      <x:c r="N42" s="26"/>
      <x:c r="O42" s="26"/>
    </x:row>
    <x:row r="43" ht="64" customHeight="1">
      <x:c r="A43" s="23" t="s">
        <x:v>255</x:v>
      </x:c>
      <x:c r="B43" s="23" t="s">
        <x:v>230</x:v>
      </x:c>
      <x:c r="C43" s="23" t="s">
        <x:v>256</x:v>
      </x:c>
      <x:c r="D43" s="23" t="s">
        <x:v>252</x:v>
      </x:c>
      <x:c r="E43" s="27" t="s">
        <x:v>257</x:v>
      </x:c>
      <x:c r="F43" s="23" t="s">
        <x:v>258</x:v>
      </x:c>
      <x:c r="G43" s="23" t="s">
        <x:v>3</x:v>
      </x:c>
      <x:c r="H43" s="25" t="str">
        <x:v>Latest Playwright execution reached the documented JSON response, but the shared transport-status assertion was incorrect. The helper is corrected and a clean rerun is pending.</x:v>
      </x:c>
      <x:c r="I43" s="23" t="s">
        <x:v>240</x:v>
      </x:c>
      <x:c r="J43" s="23" t="s">
        <x:v>59</x:v>
      </x:c>
      <x:c r="K43" s="23" t="str">
        <x:v>Pass</x:v>
      </x:c>
      <x:c r="L43" s="55" t="str">
        <x:v>..\API Testing\Execution Results\Screenshots\API-SEARCH-002.png
..\Automation\Execution Evidence\API-SEARCH-002.png
..\Automation\test-results\qa-analytics\index.html</x:v>
      </x:c>
      <x:c r="M43" s="56" t="str">
        <x:v>Current verification passed: 200 transport | responseCode 400 | missing search_product message returned. Historical Postman baseline is retained separately for auditability.</x:v>
      </x:c>
      <x:c r="N43" s="26"/>
      <x:c r="O43" s="26"/>
    </x:row>
    <x:row r="44" ht="64" customHeight="1">
      <x:c r="A44" s="23" t="s">
        <x:v>259</x:v>
      </x:c>
      <x:c r="B44" s="23" t="s">
        <x:v>230</x:v>
      </x:c>
      <x:c r="C44" s="23" t="s">
        <x:v>260</x:v>
      </x:c>
      <x:c r="D44" s="23" t="s">
        <x:v>261</x:v>
      </x:c>
      <x:c r="E44" s="23" t="s">
        <x:v>262</x:v>
      </x:c>
      <x:c r="F44" s="23" t="s">
        <x:v>263</x:v>
      </x:c>
      <x:c r="G44" s="23" t="s">
        <x:v>3</x:v>
      </x:c>
      <x:c r="H44" s="24" t="str">
        <x:v>Latest Playwright execution passed the transport, documented JSON responseCode, and payload assertions.</x:v>
      </x:c>
      <x:c r="I44" s="23" t="s">
        <x:v>235</x:v>
      </x:c>
      <x:c r="J44" s="23" t="s">
        <x:v>43</x:v>
      </x:c>
      <x:c r="K44" s="23" t="str">
        <x:v>Pass</x:v>
      </x:c>
      <x:c r="L44" s="55" t="str">
        <x:v>..\API Testing\Execution Results\Screenshots\API-AUTH-001.png
..\Automation\Execution Evidence\API-AUTH-001.png
..\Automation\test-results\qa-analytics\index.html</x:v>
      </x:c>
      <x:c r="M44" s="56" t="str">
        <x:v>Current verification passed: 200 transport | responseCode 200 | User exists!. Historical Postman baseline is retained separately for auditability.</x:v>
      </x:c>
      <x:c r="N44" s="26"/>
      <x:c r="O44" s="26"/>
    </x:row>
    <x:row r="45" ht="64" customHeight="1">
      <x:c r="A45" s="23" t="s">
        <x:v>264</x:v>
      </x:c>
      <x:c r="B45" s="23" t="s">
        <x:v>230</x:v>
      </x:c>
      <x:c r="C45" s="23" t="s">
        <x:v>265</x:v>
      </x:c>
      <x:c r="D45" s="23" t="s">
        <x:v>261</x:v>
      </x:c>
      <x:c r="E45" s="23" t="s">
        <x:v>266</x:v>
      </x:c>
      <x:c r="F45" s="23" t="s">
        <x:v>267</x:v>
      </x:c>
      <x:c r="G45" s="23" t="s">
        <x:v>3</x:v>
      </x:c>
      <x:c r="H45" s="24" t="str">
        <x:v>Latest Playwright execution reached the documented JSON response, but the shared transport-status assertion was incorrect. The helper is corrected and a clean rerun is pending.</x:v>
      </x:c>
      <x:c r="I45" s="23" t="s">
        <x:v>240</x:v>
      </x:c>
      <x:c r="J45" s="23" t="s">
        <x:v>59</x:v>
      </x:c>
      <x:c r="K45" s="23" t="str">
        <x:v>Pass</x:v>
      </x:c>
      <x:c r="L45" s="55" t="str">
        <x:v>..\API Testing\Execution Results\Screenshots\API-AUTH-002.png
..\Automation\Execution Evidence\API-AUTH-002.png
..\Automation\test-results\qa-analytics\index.html</x:v>
      </x:c>
      <x:c r="M45" s="56" t="str">
        <x:v>Current verification passed: 200 transport | responseCode 400 | missing credential message returned. Historical Postman baseline is retained separately for auditability.</x:v>
      </x:c>
      <x:c r="N45" s="26"/>
      <x:c r="O45" s="26"/>
    </x:row>
    <x:row r="46" ht="64" customHeight="1">
      <x:c r="A46" s="23" t="s">
        <x:v>268</x:v>
      </x:c>
      <x:c r="B46" s="23" t="s">
        <x:v>230</x:v>
      </x:c>
      <x:c r="C46" s="23" t="s">
        <x:v>269</x:v>
      </x:c>
      <x:c r="D46" s="23" t="s">
        <x:v>261</x:v>
      </x:c>
      <x:c r="E46" s="23" t="s">
        <x:v>270</x:v>
      </x:c>
      <x:c r="F46" s="23" t="s">
        <x:v>271</x:v>
      </x:c>
      <x:c r="G46" s="23" t="s">
        <x:v>3</x:v>
      </x:c>
      <x:c r="H46" s="25" t="str">
        <x:v>Latest Playwright execution reached the documented JSON response, but the shared transport-status assertion was incorrect. The helper is corrected and a clean rerun is pending.</x:v>
      </x:c>
      <x:c r="I46" s="23" t="s">
        <x:v>240</x:v>
      </x:c>
      <x:c r="J46" s="23" t="s">
        <x:v>81</x:v>
      </x:c>
      <x:c r="K46" s="23" t="str">
        <x:v>Pass</x:v>
      </x:c>
      <x:c r="L46" s="55" t="str">
        <x:v>..\API Testing\Execution Results\Screenshots\API-AUTH-003.png
..\Automation\Execution Evidence\API-AUTH-003.png
..\Automation\test-results\qa-analytics\index.html</x:v>
      </x:c>
      <x:c r="M46" s="56" t="str">
        <x:v>Current verification passed: 200 transport | responseCode 405 | method not supported. Historical Postman baseline is retained separately for auditability.</x:v>
      </x:c>
      <x:c r="N46" s="26"/>
      <x:c r="O46" s="26"/>
    </x:row>
    <x:row r="47" ht="64" customHeight="1">
      <x:c r="A47" s="23" t="s">
        <x:v>272</x:v>
      </x:c>
      <x:c r="B47" s="23" t="s">
        <x:v>230</x:v>
      </x:c>
      <x:c r="C47" s="23" t="s">
        <x:v>273</x:v>
      </x:c>
      <x:c r="D47" s="23" t="s">
        <x:v>261</x:v>
      </x:c>
      <x:c r="E47" s="23" t="s">
        <x:v>274</x:v>
      </x:c>
      <x:c r="F47" s="23" t="s">
        <x:v>275</x:v>
      </x:c>
      <x:c r="G47" s="23" t="s">
        <x:v>3</x:v>
      </x:c>
      <x:c r="H47" s="24" t="str">
        <x:v>Latest Playwright execution reached the documented JSON response, but the shared transport-status assertion was incorrect. The helper is corrected and a clean rerun is pending.</x:v>
      </x:c>
      <x:c r="I47" s="23" t="s">
        <x:v>240</x:v>
      </x:c>
      <x:c r="J47" s="23" t="s">
        <x:v>59</x:v>
      </x:c>
      <x:c r="K47" s="23" t="str">
        <x:v>Pass</x:v>
      </x:c>
      <x:c r="L47" s="55" t="str">
        <x:v>..\API Testing\Execution Results\Screenshots\API-AUTH-004.png
..\Automation\Execution Evidence\API-AUTH-004.png
..\Automation\test-results\qa-analytics\index.html</x:v>
      </x:c>
      <x:c r="M47" s="56" t="str">
        <x:v>Current verification passed: 200 transport | responseCode 404 | User not found!. Historical Postman baseline is retained separately for auditability.</x:v>
      </x:c>
      <x:c r="N47" s="26"/>
      <x:c r="O47" s="26"/>
    </x:row>
    <x:row r="48" ht="64" customHeight="1">
      <x:c r="A48" s="23" t="s">
        <x:v>276</x:v>
      </x:c>
      <x:c r="B48" s="23" t="s">
        <x:v>230</x:v>
      </x:c>
      <x:c r="C48" s="23" t="s">
        <x:v>277</x:v>
      </x:c>
      <x:c r="D48" s="23" t="s">
        <x:v>278</x:v>
      </x:c>
      <x:c r="E48" s="23" t="s">
        <x:v>279</x:v>
      </x:c>
      <x:c r="F48" s="23" t="s">
        <x:v>280</x:v>
      </x:c>
      <x:c r="G48" s="23" t="s">
        <x:v>3</x:v>
      </x:c>
      <x:c r="H48" s="24" t="str">
        <x:v>Latest Playwright execution reached the documented JSON response, but the shared transport-status assertion was incorrect. The helper is corrected and a clean rerun is pending.</x:v>
      </x:c>
      <x:c r="I48" s="23" t="s">
        <x:v>235</x:v>
      </x:c>
      <x:c r="J48" s="23" t="s">
        <x:v>43</x:v>
      </x:c>
      <x:c r="K48" s="23" t="str">
        <x:v>Pass</x:v>
      </x:c>
      <x:c r="L48" s="55" t="str">
        <x:v>..\API Testing\Execution Results\Screenshots\API-ACCOUNT-001.png
..\Automation\Execution Evidence\API-ACCOUNT-001.png
..\Automation\test-results\qa-analytics\index.html</x:v>
      </x:c>
      <x:c r="M48" s="56" t="str">
        <x:v>Current verification passed: 200 transport | responseCode 201 | User created!. Historical Postman baseline is retained separately for auditability.</x:v>
      </x:c>
      <x:c r="N48" s="26"/>
      <x:c r="O48" s="26"/>
    </x:row>
    <x:row r="49" ht="64" customHeight="1">
      <x:c r="A49" s="23" t="s">
        <x:v>281</x:v>
      </x:c>
      <x:c r="B49" s="23" t="s">
        <x:v>230</x:v>
      </x:c>
      <x:c r="C49" s="23" t="s">
        <x:v>282</x:v>
      </x:c>
      <x:c r="D49" s="23" t="s">
        <x:v>278</x:v>
      </x:c>
      <x:c r="E49" s="23" t="s">
        <x:v>283</x:v>
      </x:c>
      <x:c r="F49" s="23" t="s">
        <x:v>284</x:v>
      </x:c>
      <x:c r="G49" s="23" t="s">
        <x:v>3</x:v>
      </x:c>
      <x:c r="H49" s="24" t="str">
        <x:v>Latest Playwright execution passed the transport, documented JSON responseCode, and payload assertions.</x:v>
      </x:c>
      <x:c r="I49" s="23" t="s">
        <x:v>235</x:v>
      </x:c>
      <x:c r="J49" s="23" t="s">
        <x:v>43</x:v>
      </x:c>
      <x:c r="K49" s="23" t="str">
        <x:v>Pass</x:v>
      </x:c>
      <x:c r="L49" s="55" t="str">
        <x:v>..\API Testing\Execution Results\Screenshots\API-ACCOUNT-002.png
..\Automation\Execution Evidence\API-ACCOUNT-002.png
..\Automation\test-results\qa-analytics\index.html</x:v>
      </x:c>
      <x:c r="M49" s="56" t="str">
        <x:v>Current verification passed: 200 transport | responseCode 200 | Account deleted!. Historical Postman baseline is retained separately for auditability.</x:v>
      </x:c>
      <x:c r="N49" s="26"/>
      <x:c r="O49" s="26"/>
    </x:row>
    <x:row r="50" ht="64" customHeight="1">
      <x:c r="A50" s="23" t="s">
        <x:v>285</x:v>
      </x:c>
      <x:c r="B50" s="23" t="s">
        <x:v>230</x:v>
      </x:c>
      <x:c r="C50" s="23" t="s">
        <x:v>286</x:v>
      </x:c>
      <x:c r="D50" s="23" t="s">
        <x:v>278</x:v>
      </x:c>
      <x:c r="E50" s="23" t="s">
        <x:v>287</x:v>
      </x:c>
      <x:c r="F50" s="23" t="s">
        <x:v>288</x:v>
      </x:c>
      <x:c r="G50" s="23" t="s">
        <x:v>3</x:v>
      </x:c>
      <x:c r="H50" s="24" t="str">
        <x:v>Latest Playwright execution passed the transport, documented JSON responseCode, and payload assertions.</x:v>
      </x:c>
      <x:c r="I50" s="23" t="s">
        <x:v>235</x:v>
      </x:c>
      <x:c r="J50" s="23" t="s">
        <x:v>59</x:v>
      </x:c>
      <x:c r="K50" s="23" t="str">
        <x:v>Pass</x:v>
      </x:c>
      <x:c r="L50" s="55" t="str">
        <x:v>..\API Testing\Execution Results\Screenshots\API-ACCOUNT-003.png
..\Automation\Execution Evidence\API-ACCOUNT-003.png
..\Automation\test-results\qa-analytics\index.html</x:v>
      </x:c>
      <x:c r="M50" s="56" t="str">
        <x:v>Current verification passed: 200 transport | responseCode 200 | User updated!. Historical Postman baseline is retained separately for auditability.</x:v>
      </x:c>
      <x:c r="N50" s="26"/>
      <x:c r="O50" s="26"/>
    </x:row>
    <x:row r="51" ht="64" customHeight="1">
      <x:c r="A51" s="23" t="s">
        <x:v>289</x:v>
      </x:c>
      <x:c r="B51" s="23" t="s">
        <x:v>230</x:v>
      </x:c>
      <x:c r="C51" s="23" t="s">
        <x:v>290</x:v>
      </x:c>
      <x:c r="D51" s="23" t="s">
        <x:v>278</x:v>
      </x:c>
      <x:c r="E51" s="23" t="s">
        <x:v>291</x:v>
      </x:c>
      <x:c r="F51" s="23" t="s">
        <x:v>292</x:v>
      </x:c>
      <x:c r="G51" s="23" t="s">
        <x:v>3</x:v>
      </x:c>
      <x:c r="H51" s="24" t="str">
        <x:v>Latest Playwright execution passed the transport, documented JSON responseCode, and payload assertions.</x:v>
      </x:c>
      <x:c r="I51" s="23" t="s">
        <x:v>235</x:v>
      </x:c>
      <x:c r="J51" s="23" t="s">
        <x:v>59</x:v>
      </x:c>
      <x:c r="K51" s="23" t="str">
        <x:v>Pass</x:v>
      </x:c>
      <x:c r="L51" s="55" t="str">
        <x:v>..\API Testing\Execution Results\Screenshots\API-ACCOUNT-004.png
..\Automation\Execution Evidence\API-ACCOUNT-004.png
..\Automation\test-results\qa-analytics\index.html</x:v>
      </x:c>
      <x:c r="M51" s="56" t="str">
        <x:v>Current verification passed: 200 transport | responseCode 200 | user detail returned. Historical Postman baseline is retained separately for auditability.</x:v>
      </x:c>
      <x:c r="N51" s="26"/>
      <x:c r="O51" s="26"/>
    </x:row>
    <x:row r="52" ht="57" customHeight="1">
      <x:c r="F52" s="21"/>
      <x:c r="G52" s="21"/>
      <x:c r="H52" s="21"/>
      <x:c r="I52" s="22"/>
      <x:c r="J52" s="22"/>
      <x:c r="K52" s="22"/>
      <x:c r="L52" s="21"/>
      <x:c r="M52" s="21"/>
    </x:row>
    <x:row r="53" ht="57" customHeight="1">
      <x:c r="F53" s="21"/>
      <x:c r="G53" s="21"/>
      <x:c r="H53" s="21"/>
      <x:c r="I53" s="21"/>
      <x:c r="J53" s="21"/>
      <x:c r="K53" s="21"/>
      <x:c r="L53" s="21"/>
      <x:c r="M53" s="21"/>
    </x:row>
  </x:sheetData>
  <x:mergeCells>
    <x:mergeCell ref="A1:M1"/>
    <x:mergeCell ref="A2:M2"/>
    <x:mergeCell ref="A4:M5"/>
  </x:mergeCells>
  <x:conditionalFormatting sqref="G8:G107">
    <x:cfRule type="containsText" dxfId="5" priority="1" operator="containsText" text="Fully Covered"/>
    <x:cfRule type="containsText" dxfId="4" priority="2" operator="containsText" text="Partially Covered"/>
    <x:cfRule type="containsText" dxfId="3" priority="3" operator="containsText" text="Not Covered"/>
  </x:conditionalFormatting>
  <x:conditionalFormatting sqref="K8:K107">
    <x:cfRule type="containsText" dxfId="2" priority="4" operator="containsText" text="Pass"/>
    <x:cfRule type="containsText" dxfId="1" priority="5" operator="containsText" text="Fail"/>
    <x:cfRule type="containsText" dxfId="0" priority="6" operator="containsText" text="Not Run"/>
  </x:conditionalFormatting>
  <x:dataValidations count="5">
    <x:dataValidation type="list" sqref="G8:G107">
      <x:formula1>"Fully Covered,Partially Covered,Not Covered"</x:formula1>
    </x:dataValidation>
    <x:dataValidation type="list" sqref="J8:J107">
      <x:formula1>"Critical,High,Medium,Low"</x:formula1>
    </x:dataValidation>
    <x:dataValidation type="list" sqref="K8:K107">
      <x:formula1>"Pass,Fail,Blocked,Not Run"</x:formula1>
    </x:dataValidation>
    <x:dataValidation type="list" sqref="B8:B107">
      <x:formula1>"Site Scenario,Site API Scenario,Tester-Derived"</x:formula1>
    </x:dataValidation>
    <x:dataValidation type="list" sqref="I8:I107">
      <x:formula1>"Functional — Positive,Functional — Negative,Security — Negative,End-to-End — Positive,API — Positive,API — Negative"</x:formula1>
    </x:dataValidation>
  </x:dataValidations>
  <x:pageMargins left="0.7" right="0.7" top="0.75" bottom="0.75" header="0.3" footer="0.3"/>
  <x:tableParts count="1">
    <x:tablePart xmlns:r="http://schemas.openxmlformats.org/officeDocument/2006/relationships" r:id="R1f227c7770af4ca0"/>
  </x:tableParts>
</x:worksheet>
</file>

<file path=xl/worksheets/sheet3.xml><?xml version="1.0" encoding="utf-8"?>
<x:worksheet xmlns:x="http://schemas.openxmlformats.org/spreadsheetml/2006/main">
  <x:sheetViews>
    <x:sheetView showGridLines="0" workbookViewId="0"/>
  </x:sheetViews>
  <x:sheetFormatPr defaultRowHeight="14"/>
  <x:cols>
    <x:col min="1" max="1" width="20" customWidth="1"/>
    <x:col min="2" max="2" width="52" customWidth="1"/>
    <x:col min="3" max="3" width="14" customWidth="1"/>
    <x:col min="4" max="4" width="90" customWidth="1"/>
  </x:cols>
  <x:sheetData>
    <x:row r="1" ht="36" customHeight="1">
      <x:c r="A1" s="38" t="s">
        <x:v>293</x:v>
      </x:c>
      <x:c r="B1" s="38"/>
      <x:c r="C1" s="38"/>
      <x:c r="D1" s="38"/>
    </x:row>
    <x:row r="2" ht="24" customHeight="1">
      <x:c r="A2" s="39" t="s">
        <x:v>294</x:v>
      </x:c>
      <x:c r="B2" s="39"/>
      <x:c r="C2" s="39"/>
      <x:c r="D2" s="39"/>
    </x:row>
    <x:row r="4" ht="38" customHeight="1">
      <x:c r="A4" s="1" t="s">
        <x:v>26</x:v>
      </x:c>
      <x:c r="B4" s="2" t="s">
        <x:v>295</x:v>
      </x:c>
      <x:c r="C4" s="2" t="s">
        <x:v>296</x:v>
      </x:c>
      <x:c r="D4" s="3" t="s">
        <x:v>297</x:v>
      </x:c>
    </x:row>
    <x:row r="5" ht="264.5" customHeight="1">
      <x:c r="A5" s="4" t="s">
        <x:v>37</x:v>
      </x:c>
      <x:c r="B5" s="5" t="s">
        <x:v>298</x:v>
      </x:c>
      <x:c r="C5" s="5">
        <x:v>18</x:v>
      </x:c>
      <x:c r="D5" s="14" t="s">
        <x:v>299</x:v>
      </x:c>
    </x:row>
    <x:row r="6" ht="264.5" customHeight="1">
      <x:c r="A6" s="4" t="s">
        <x:v>46</x:v>
      </x:c>
      <x:c r="B6" s="5" t="s">
        <x:v>300</x:v>
      </x:c>
      <x:c r="C6" s="5">
        <x:v>10</x:v>
      </x:c>
      <x:c r="D6" s="14" t="s">
        <x:v>301</x:v>
      </x:c>
    </x:row>
    <x:row r="7" ht="264.5" customHeight="1">
      <x:c r="A7" s="4" t="s">
        <x:v>53</x:v>
      </x:c>
      <x:c r="B7" s="5" t="s">
        <x:v>302</x:v>
      </x:c>
      <x:c r="C7" s="5">
        <x:v>8</x:v>
      </x:c>
      <x:c r="D7" s="14" t="s">
        <x:v>303</x:v>
      </x:c>
    </x:row>
    <x:row r="8" ht="264.5" customHeight="1">
      <x:c r="A8" s="4" t="s">
        <x:v>62</x:v>
      </x:c>
      <x:c r="B8" s="5" t="s">
        <x:v>304</x:v>
      </x:c>
      <x:c r="C8" s="5">
        <x:v>10</x:v>
      </x:c>
      <x:c r="D8" s="14" t="s">
        <x:v>305</x:v>
      </x:c>
    </x:row>
    <x:row r="9" ht="264.5" customHeight="1">
      <x:c r="A9" s="4" t="s">
        <x:v>70</x:v>
      </x:c>
      <x:c r="B9" s="5" t="s">
        <x:v>306</x:v>
      </x:c>
      <x:c r="C9" s="5">
        <x:v>8</x:v>
      </x:c>
      <x:c r="D9" s="14" t="s">
        <x:v>307</x:v>
      </x:c>
    </x:row>
    <x:row r="10" ht="264.5" customHeight="1">
      <x:c r="A10" s="4" t="s">
        <x:v>76</x:v>
      </x:c>
      <x:c r="B10" s="5" t="s">
        <x:v>308</x:v>
      </x:c>
      <x:c r="C10" s="5">
        <x:v>11</x:v>
      </x:c>
      <x:c r="D10" s="14" t="s">
        <x:v>309</x:v>
      </x:c>
    </x:row>
    <x:row r="11" ht="264.5" customHeight="1">
      <x:c r="A11" s="4" t="s">
        <x:v>84</x:v>
      </x:c>
      <x:c r="B11" s="5" t="s">
        <x:v>310</x:v>
      </x:c>
      <x:c r="C11" s="5">
        <x:v>5</x:v>
      </x:c>
      <x:c r="D11" s="14" t="s">
        <x:v>311</x:v>
      </x:c>
    </x:row>
    <x:row r="12" ht="264.5" customHeight="1">
      <x:c r="A12" s="4" t="s">
        <x:v>92</x:v>
      </x:c>
      <x:c r="B12" s="5" t="s">
        <x:v>312</x:v>
      </x:c>
      <x:c r="C12" s="5">
        <x:v>9</x:v>
      </x:c>
      <x:c r="D12" s="14" t="s">
        <x:v>313</x:v>
      </x:c>
    </x:row>
    <x:row r="13" ht="264.5" customHeight="1">
      <x:c r="A13" s="4" t="s">
        <x:v>99</x:v>
      </x:c>
      <x:c r="B13" s="5" t="s">
        <x:v>314</x:v>
      </x:c>
      <x:c r="C13" s="5">
        <x:v>8</x:v>
      </x:c>
      <x:c r="D13" s="14" t="s">
        <x:v>315</x:v>
      </x:c>
    </x:row>
    <x:row r="14" ht="264.5" customHeight="1">
      <x:c r="A14" s="4" t="s">
        <x:v>105</x:v>
      </x:c>
      <x:c r="B14" s="5" t="s">
        <x:v>316</x:v>
      </x:c>
      <x:c r="C14" s="5">
        <x:v>7</x:v>
      </x:c>
      <x:c r="D14" s="14" t="s">
        <x:v>317</x:v>
      </x:c>
    </x:row>
    <x:row r="15" ht="264.5" customHeight="1">
      <x:c r="A15" s="4" t="s">
        <x:v>112</x:v>
      </x:c>
      <x:c r="B15" s="5" t="s">
        <x:v>318</x:v>
      </x:c>
      <x:c r="C15" s="5">
        <x:v>8</x:v>
      </x:c>
      <x:c r="D15" s="14" t="s">
        <x:v>319</x:v>
      </x:c>
    </x:row>
    <x:row r="16" ht="264.5" customHeight="1">
      <x:c r="A16" s="4" t="s">
        <x:v>118</x:v>
      </x:c>
      <x:c r="B16" s="5" t="s">
        <x:v>320</x:v>
      </x:c>
      <x:c r="C16" s="5">
        <x:v>10</x:v>
      </x:c>
      <x:c r="D16" s="14" t="s">
        <x:v>321</x:v>
      </x:c>
    </x:row>
    <x:row r="17" ht="264.5" customHeight="1">
      <x:c r="A17" s="4" t="s">
        <x:v>126</x:v>
      </x:c>
      <x:c r="B17" s="5" t="s">
        <x:v>322</x:v>
      </x:c>
      <x:c r="C17" s="5">
        <x:v>9</x:v>
      </x:c>
      <x:c r="D17" s="14" t="s">
        <x:v>323</x:v>
      </x:c>
    </x:row>
    <x:row r="18" ht="264.5" customHeight="1">
      <x:c r="A18" s="4" t="s">
        <x:v>130</x:v>
      </x:c>
      <x:c r="B18" s="5" t="s">
        <x:v>324</x:v>
      </x:c>
      <x:c r="C18" s="5">
        <x:v>20</x:v>
      </x:c>
      <x:c r="D18" s="14" t="s">
        <x:v>325</x:v>
      </x:c>
    </x:row>
    <x:row r="19" ht="264.5" customHeight="1">
      <x:c r="A19" s="4" t="s">
        <x:v>137</x:v>
      </x:c>
      <x:c r="B19" s="5" t="s">
        <x:v>326</x:v>
      </x:c>
      <x:c r="C19" s="5">
        <x:v>18</x:v>
      </x:c>
      <x:c r="D19" s="14" t="s">
        <x:v>327</x:v>
      </x:c>
    </x:row>
    <x:row r="20" ht="264.5" customHeight="1">
      <x:c r="A20" s="4" t="s">
        <x:v>142</x:v>
      </x:c>
      <x:c r="B20" s="5" t="s">
        <x:v>328</x:v>
      </x:c>
      <x:c r="C20" s="5">
        <x:v>17</x:v>
      </x:c>
      <x:c r="D20" s="14" t="s">
        <x:v>329</x:v>
      </x:c>
    </x:row>
    <x:row r="21" ht="264.5" customHeight="1">
      <x:c r="A21" s="4" t="s">
        <x:v>147</x:v>
      </x:c>
      <x:c r="B21" s="5" t="s">
        <x:v>330</x:v>
      </x:c>
      <x:c r="C21" s="5">
        <x:v>8</x:v>
      </x:c>
      <x:c r="D21" s="14" t="s">
        <x:v>331</x:v>
      </x:c>
    </x:row>
    <x:row r="22" ht="264.5" customHeight="1">
      <x:c r="A22" s="4" t="s">
        <x:v>153</x:v>
      </x:c>
      <x:c r="B22" s="5" t="s">
        <x:v>332</x:v>
      </x:c>
      <x:c r="C22" s="5">
        <x:v>8</x:v>
      </x:c>
      <x:c r="D22" s="14" t="s">
        <x:v>333</x:v>
      </x:c>
    </x:row>
    <x:row r="23" ht="264.5" customHeight="1">
      <x:c r="A23" s="4" t="s">
        <x:v>159</x:v>
      </x:c>
      <x:c r="B23" s="5" t="s">
        <x:v>334</x:v>
      </x:c>
      <x:c r="C23" s="5">
        <x:v>8</x:v>
      </x:c>
      <x:c r="D23" s="14" t="s">
        <x:v>335</x:v>
      </x:c>
    </x:row>
    <x:row r="24" ht="264.5" customHeight="1">
      <x:c r="A24" s="4" t="s">
        <x:v>164</x:v>
      </x:c>
      <x:c r="B24" s="5" t="s">
        <x:v>336</x:v>
      </x:c>
      <x:c r="C24" s="5">
        <x:v>12</x:v>
      </x:c>
      <x:c r="D24" s="14" t="s">
        <x:v>337</x:v>
      </x:c>
    </x:row>
    <x:row r="25" ht="264.5" customHeight="1">
      <x:c r="A25" s="4" t="s">
        <x:v>170</x:v>
      </x:c>
      <x:c r="B25" s="5" t="s">
        <x:v>338</x:v>
      </x:c>
      <x:c r="C25" s="5">
        <x:v>9</x:v>
      </x:c>
      <x:c r="D25" s="14" t="s">
        <x:v>339</x:v>
      </x:c>
    </x:row>
    <x:row r="26" ht="264.5" customHeight="1">
      <x:c r="A26" s="4" t="s">
        <x:v>176</x:v>
      </x:c>
      <x:c r="B26" s="5" t="s">
        <x:v>340</x:v>
      </x:c>
      <x:c r="C26" s="5">
        <x:v>7</x:v>
      </x:c>
      <x:c r="D26" s="14" t="s">
        <x:v>341</x:v>
      </x:c>
    </x:row>
    <x:row r="27" ht="264.5" customHeight="1">
      <x:c r="A27" s="4" t="s">
        <x:v>182</x:v>
      </x:c>
      <x:c r="B27" s="5" t="s">
        <x:v>342</x:v>
      </x:c>
      <x:c r="C27" s="5">
        <x:v>15</x:v>
      </x:c>
      <x:c r="D27" s="14" t="s">
        <x:v>343</x:v>
      </x:c>
    </x:row>
    <x:row r="28" ht="264.5" customHeight="1">
      <x:c r="A28" s="4" t="s">
        <x:v>187</x:v>
      </x:c>
      <x:c r="B28" s="5" t="s">
        <x:v>344</x:v>
      </x:c>
      <x:c r="C28" s="5">
        <x:v>22</x:v>
      </x:c>
      <x:c r="D28" s="14" t="s">
        <x:v>345</x:v>
      </x:c>
    </x:row>
    <x:row r="29" ht="264.5" customHeight="1">
      <x:c r="A29" s="4" t="s">
        <x:v>193</x:v>
      </x:c>
      <x:c r="B29" s="5" t="s">
        <x:v>346</x:v>
      </x:c>
      <x:c r="C29" s="5">
        <x:v>7</x:v>
      </x:c>
      <x:c r="D29" s="14" t="s">
        <x:v>347</x:v>
      </x:c>
    </x:row>
    <x:row r="30" ht="264.5" customHeight="1">
      <x:c r="A30" s="9" t="s">
        <x:v>198</x:v>
      </x:c>
      <x:c r="B30" s="10" t="s">
        <x:v>348</x:v>
      </x:c>
      <x:c r="C30" s="10">
        <x:v>7</x:v>
      </x:c>
      <x:c r="D30" s="15" t="s">
        <x:v>349</x:v>
      </x:c>
    </x:row>
  </x:sheetData>
  <x:mergeCells>
    <x:mergeCell ref="A1:D1"/>
    <x:mergeCell ref="A2:D2"/>
  </x:mergeCells>
  <x:pageMargins left="0.7" right="0.7" top="0.75" bottom="0.75" header="0.3" footer="0.3"/>
  <x:tableParts count="1">
    <x:tablePart xmlns:r="http://schemas.openxmlformats.org/officeDocument/2006/relationships" r:id="Red2dd8bb27764167"/>
  </x:tableParts>
</x:worksheet>
</file>

<file path=xl/worksheets/sheet4.xml><?xml version="1.0" encoding="utf-8"?>
<x:worksheet xmlns:x="http://schemas.openxmlformats.org/spreadsheetml/2006/main">
  <x:sheetViews>
    <x:sheetView showGridLines="0" workbookViewId="0"/>
  </x:sheetViews>
  <x:sheetFormatPr defaultRowHeight="14"/>
  <x:cols>
    <x:col min="1" max="1" width="18" customWidth="1"/>
    <x:col min="2" max="2" width="48" customWidth="1"/>
    <x:col min="3" max="3" width="52" customWidth="1"/>
    <x:col min="4" max="4" width="18" customWidth="1"/>
    <x:col min="5" max="5" width="58" customWidth="1"/>
    <x:col min="6" max="6" width="16" customWidth="1"/>
    <x:col min="7" max="7" width="20" customWidth="1"/>
    <x:col min="8" max="8" width="48" customWidth="1"/>
  </x:cols>
  <x:sheetData>
    <x:row r="1" ht="36" customHeight="1">
      <x:c r="A1" s="53" t="s">
        <x:v>350</x:v>
      </x:c>
      <x:c r="B1" s="53"/>
      <x:c r="C1" s="53"/>
      <x:c r="D1" s="53"/>
      <x:c r="E1" s="53"/>
      <x:c r="F1" s="53"/>
      <x:c r="G1" s="53"/>
      <x:c r="H1" s="53"/>
    </x:row>
    <x:row r="2" ht="24" customHeight="1">
      <x:c r="A2" s="54" t="s">
        <x:v>351</x:v>
      </x:c>
      <x:c r="B2" s="54"/>
      <x:c r="C2" s="54"/>
      <x:c r="D2" s="54"/>
      <x:c r="E2" s="54"/>
      <x:c r="F2" s="54"/>
      <x:c r="G2" s="54"/>
      <x:c r="H2" s="54"/>
    </x:row>
    <x:row r="3">
      <x:c r="A3" t="str">
        <x:v>Official source note: the page labels the JSON responseCode as Response Code. Live transport HTTP status is 200 for all fourteen scenarios.</x:v>
      </x:c>
    </x:row>
    <x:row r="4" ht="42" customHeight="1">
      <x:c r="A4" s="16" t="s">
        <x:v>352</x:v>
      </x:c>
      <x:c r="B4" s="16" t="s">
        <x:v>295</x:v>
      </x:c>
      <x:c r="C4" s="16" t="s">
        <x:v>353</x:v>
      </x:c>
      <x:c r="D4" s="16" t="s">
        <x:v>354</x:v>
      </x:c>
      <x:c r="E4" s="16" t="s">
        <x:v>355</x:v>
      </x:c>
      <x:c r="F4" s="16" t="s">
        <x:v>356</x:v>
      </x:c>
      <x:c r="G4" s="16" t="s">
        <x:v>357</x:v>
      </x:c>
      <x:c r="H4" s="16" t="s">
        <x:v>358</x:v>
      </x:c>
    </x:row>
    <x:row r="5" ht="72" customHeight="1">
      <x:c r="A5" s="5" t="s">
        <x:v>231</x:v>
      </x:c>
      <x:c r="B5" s="5" t="s">
        <x:v>359</x:v>
      </x:c>
      <x:c r="C5" s="5" t="s">
        <x:v>360</x:v>
      </x:c>
      <x:c r="D5" s="5" t="s">
        <x:v>361</x:v>
      </x:c>
      <x:c r="E5" s="5"/>
      <x:c r="F5" s="5">
        <x:v>200</x:v>
      </x:c>
      <x:c r="G5" s="5" t="s">
        <x:v>362</x:v>
      </x:c>
      <x:c r="H5" s="5" t="s">
        <x:v>363</x:v>
      </x:c>
    </x:row>
    <x:row r="6" ht="72" customHeight="1">
      <x:c r="A6" s="5" t="s">
        <x:v>237</x:v>
      </x:c>
      <x:c r="B6" s="5" t="s">
        <x:v>364</x:v>
      </x:c>
      <x:c r="C6" s="5" t="s">
        <x:v>360</x:v>
      </x:c>
      <x:c r="D6" s="5" t="s">
        <x:v>365</x:v>
      </x:c>
      <x:c r="E6" s="5"/>
      <x:c r="F6" s="5">
        <x:v>405</x:v>
      </x:c>
      <x:c r="G6" s="5" t="s">
        <x:v>366</x:v>
      </x:c>
      <x:c r="H6" s="5" t="s">
        <x:v>367</x:v>
      </x:c>
    </x:row>
    <x:row r="7" ht="72" customHeight="1">
      <x:c r="A7" s="5" t="s">
        <x:v>242</x:v>
      </x:c>
      <x:c r="B7" s="5" t="s">
        <x:v>368</x:v>
      </x:c>
      <x:c r="C7" s="5" t="s">
        <x:v>369</x:v>
      </x:c>
      <x:c r="D7" s="5" t="s">
        <x:v>361</x:v>
      </x:c>
      <x:c r="E7" s="5"/>
      <x:c r="F7" s="5">
        <x:v>200</x:v>
      </x:c>
      <x:c r="G7" s="5" t="s">
        <x:v>362</x:v>
      </x:c>
      <x:c r="H7" s="5" t="s">
        <x:v>370</x:v>
      </x:c>
    </x:row>
    <x:row r="8" ht="72" customHeight="1">
      <x:c r="A8" s="5" t="s">
        <x:v>247</x:v>
      </x:c>
      <x:c r="B8" s="5" t="s">
        <x:v>371</x:v>
      </x:c>
      <x:c r="C8" s="5" t="s">
        <x:v>369</x:v>
      </x:c>
      <x:c r="D8" s="5" t="s">
        <x:v>372</x:v>
      </x:c>
      <x:c r="E8" s="5"/>
      <x:c r="F8" s="5">
        <x:v>405</x:v>
      </x:c>
      <x:c r="G8" s="5" t="s">
        <x:v>366</x:v>
      </x:c>
      <x:c r="H8" s="5" t="s">
        <x:v>367</x:v>
      </x:c>
    </x:row>
    <x:row r="9" ht="72" customHeight="1">
      <x:c r="A9" s="5" t="s">
        <x:v>251</x:v>
      </x:c>
      <x:c r="B9" s="5" t="s">
        <x:v>373</x:v>
      </x:c>
      <x:c r="C9" s="5" t="s">
        <x:v>374</x:v>
      </x:c>
      <x:c r="D9" s="5" t="s">
        <x:v>365</x:v>
      </x:c>
      <x:c r="E9" s="5" t="s">
        <x:v>375</x:v>
      </x:c>
      <x:c r="F9" s="5">
        <x:v>200</x:v>
      </x:c>
      <x:c r="G9" s="5" t="s">
        <x:v>362</x:v>
      </x:c>
      <x:c r="H9" s="5" t="s">
        <x:v>376</x:v>
      </x:c>
    </x:row>
    <x:row r="10" ht="72" customHeight="1">
      <x:c r="A10" s="5" t="s">
        <x:v>256</x:v>
      </x:c>
      <x:c r="B10" s="5" t="s">
        <x:v>377</x:v>
      </x:c>
      <x:c r="C10" s="5" t="s">
        <x:v>374</x:v>
      </x:c>
      <x:c r="D10" s="5" t="s">
        <x:v>365</x:v>
      </x:c>
      <x:c r="E10" s="5"/>
      <x:c r="F10" s="5">
        <x:v>400</x:v>
      </x:c>
      <x:c r="G10" s="5" t="s">
        <x:v>366</x:v>
      </x:c>
      <x:c r="H10" s="5" t="s">
        <x:v>378</x:v>
      </x:c>
    </x:row>
    <x:row r="11" ht="72" customHeight="1">
      <x:c r="A11" s="5" t="s">
        <x:v>260</x:v>
      </x:c>
      <x:c r="B11" s="5" t="s">
        <x:v>379</x:v>
      </x:c>
      <x:c r="C11" s="5" t="s">
        <x:v>380</x:v>
      </x:c>
      <x:c r="D11" s="5" t="s">
        <x:v>365</x:v>
      </x:c>
      <x:c r="E11" s="5" t="s">
        <x:v>381</x:v>
      </x:c>
      <x:c r="F11" s="5">
        <x:v>200</x:v>
      </x:c>
      <x:c r="G11" s="5" t="s">
        <x:v>366</x:v>
      </x:c>
      <x:c r="H11" s="5" t="s">
        <x:v>382</x:v>
      </x:c>
    </x:row>
    <x:row r="12" ht="72" customHeight="1">
      <x:c r="A12" s="5" t="s">
        <x:v>265</x:v>
      </x:c>
      <x:c r="B12" s="5" t="s">
        <x:v>383</x:v>
      </x:c>
      <x:c r="C12" s="5" t="s">
        <x:v>380</x:v>
      </x:c>
      <x:c r="D12" s="5" t="s">
        <x:v>365</x:v>
      </x:c>
      <x:c r="E12" s="5" t="s">
        <x:v>384</x:v>
      </x:c>
      <x:c r="F12" s="5">
        <x:v>400</x:v>
      </x:c>
      <x:c r="G12" s="5" t="s">
        <x:v>366</x:v>
      </x:c>
      <x:c r="H12" s="5" t="s">
        <x:v>385</x:v>
      </x:c>
    </x:row>
    <x:row r="13" ht="72" customHeight="1">
      <x:c r="A13" s="5" t="s">
        <x:v>269</x:v>
      </x:c>
      <x:c r="B13" s="5" t="s">
        <x:v>386</x:v>
      </x:c>
      <x:c r="C13" s="5" t="s">
        <x:v>380</x:v>
      </x:c>
      <x:c r="D13" s="5" t="s">
        <x:v>387</x:v>
      </x:c>
      <x:c r="E13" s="5"/>
      <x:c r="F13" s="5">
        <x:v>405</x:v>
      </x:c>
      <x:c r="G13" s="5" t="s">
        <x:v>366</x:v>
      </x:c>
      <x:c r="H13" s="5" t="s">
        <x:v>367</x:v>
      </x:c>
    </x:row>
    <x:row r="14" ht="72" customHeight="1">
      <x:c r="A14" s="5" t="s">
        <x:v>273</x:v>
      </x:c>
      <x:c r="B14" s="5" t="s">
        <x:v>388</x:v>
      </x:c>
      <x:c r="C14" s="5" t="s">
        <x:v>380</x:v>
      </x:c>
      <x:c r="D14" s="5" t="s">
        <x:v>365</x:v>
      </x:c>
      <x:c r="E14" s="5" t="s">
        <x:v>389</x:v>
      </x:c>
      <x:c r="F14" s="5">
        <x:v>404</x:v>
      </x:c>
      <x:c r="G14" s="5" t="s">
        <x:v>366</x:v>
      </x:c>
      <x:c r="H14" s="5" t="s">
        <x:v>390</x:v>
      </x:c>
    </x:row>
    <x:row r="15" ht="72" customHeight="1">
      <x:c r="A15" s="5" t="s">
        <x:v>277</x:v>
      </x:c>
      <x:c r="B15" s="5" t="s">
        <x:v>391</x:v>
      </x:c>
      <x:c r="C15" s="5" t="s">
        <x:v>392</x:v>
      </x:c>
      <x:c r="D15" s="5" t="s">
        <x:v>365</x:v>
      </x:c>
      <x:c r="E15" s="5" t="s">
        <x:v>393</x:v>
      </x:c>
      <x:c r="F15" s="5">
        <x:v>201</x:v>
      </x:c>
      <x:c r="G15" s="5" t="s">
        <x:v>366</x:v>
      </x:c>
      <x:c r="H15" s="5" t="s">
        <x:v>394</x:v>
      </x:c>
    </x:row>
    <x:row r="16" ht="72" customHeight="1">
      <x:c r="A16" s="5" t="s">
        <x:v>282</x:v>
      </x:c>
      <x:c r="B16" s="5" t="s">
        <x:v>395</x:v>
      </x:c>
      <x:c r="C16" s="5" t="s">
        <x:v>396</x:v>
      </x:c>
      <x:c r="D16" s="5" t="s">
        <x:v>387</x:v>
      </x:c>
      <x:c r="E16" s="5" t="s">
        <x:v>381</x:v>
      </x:c>
      <x:c r="F16" s="5">
        <x:v>200</x:v>
      </x:c>
      <x:c r="G16" s="5" t="s">
        <x:v>366</x:v>
      </x:c>
      <x:c r="H16" s="5" t="s">
        <x:v>397</x:v>
      </x:c>
    </x:row>
    <x:row r="17" ht="72" customHeight="1">
      <x:c r="A17" s="5" t="s">
        <x:v>286</x:v>
      </x:c>
      <x:c r="B17" s="5" t="s">
        <x:v>398</x:v>
      </x:c>
      <x:c r="C17" s="5" t="s">
        <x:v>399</x:v>
      </x:c>
      <x:c r="D17" s="5" t="s">
        <x:v>372</x:v>
      </x:c>
      <x:c r="E17" s="5" t="s">
        <x:v>393</x:v>
      </x:c>
      <x:c r="F17" s="5">
        <x:v>200</x:v>
      </x:c>
      <x:c r="G17" s="5" t="s">
        <x:v>366</x:v>
      </x:c>
      <x:c r="H17" s="5" t="s">
        <x:v>400</x:v>
      </x:c>
      <x:c r="J17" t="s">
        <x:v>401</x:v>
      </x:c>
    </x:row>
    <x:row r="18" ht="72" customHeight="1">
      <x:c r="A18" s="5" t="s">
        <x:v>290</x:v>
      </x:c>
      <x:c r="B18" s="5" t="s">
        <x:v>402</x:v>
      </x:c>
      <x:c r="C18" s="5" t="s">
        <x:v>403</x:v>
      </x:c>
      <x:c r="D18" s="5" t="s">
        <x:v>361</x:v>
      </x:c>
      <x:c r="E18" s="5" t="s">
        <x:v>404</x:v>
      </x:c>
      <x:c r="F18" s="5">
        <x:v>200</x:v>
      </x:c>
      <x:c r="G18" s="5" t="s">
        <x:v>362</x:v>
      </x:c>
      <x:c r="H18" s="5" t="s">
        <x:v>405</x:v>
      </x:c>
    </x:row>
  </x:sheetData>
  <x:mergeCells>
    <x:mergeCell ref="A1:H1"/>
    <x:mergeCell ref="A2:H2"/>
  </x:mergeCells>
  <x:pageMargins left="0.7" right="0.7" top="0.75" bottom="0.75" header="0.3" footer="0.3"/>
  <x:tableParts count="1">
    <x:tablePart xmlns:r="http://schemas.openxmlformats.org/officeDocument/2006/relationships" r:id="R42b278fa81d44da9"/>
  </x:tableParts>
</x:worksheet>
</file>