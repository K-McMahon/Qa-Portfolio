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16657f5c9a49d3" /></Relationships>
</file>

<file path=xl/workbook.xml><?xml version="1.0" encoding="utf-8"?>
<x:workbook xmlns:x="http://schemas.openxmlformats.org/spreadsheetml/2006/main">
  <x:sheets>
    <x:sheet xmlns:r="http://schemas.openxmlformats.org/officeDocument/2006/relationships" name="Overview" sheetId="1" r:id="Rdf8cf360182f4f7a"/>
    <x:sheet xmlns:r="http://schemas.openxmlformats.org/officeDocument/2006/relationships" name="RTM" sheetId="2" r:id="R396ee8a6882b4899"/>
    <x:sheet xmlns:r="http://schemas.openxmlformats.org/officeDocument/2006/relationships" name="Source Scenarios" sheetId="3" r:id="Rc73d54d173db40a4"/>
    <x:sheet xmlns:r="http://schemas.openxmlformats.org/officeDocument/2006/relationships" name="Source APIs" sheetId="4" r:id="Rfe20f315ce404bcb"/>
    <x:sheet xmlns:r="http://schemas.openxmlformats.org/officeDocument/2006/relationships" name="Jira Sync" sheetId="5" r:id="R2648f26daf7944f0"/>
  </x:sheets>
</x:workbook>
</file>

<file path=xl/sharedStrings.xml><?xml version="1.0" encoding="utf-8"?>
<x:sst xmlns:x="http://schemas.openxmlformats.org/spreadsheetml/2006/main">
  <x:si>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</x:si>
  <x:si>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</x:si>
  <x:si>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</x:si>
  <x:si>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</x:si>
  <x:si>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</x:si>
  <x:si>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</x:si>
  <x:si>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</x:si>
  <x:si>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</x:si>
  <x:si>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</x:si>
  <x:si>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</x:si>
  <x:si>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</x:si>
  <x:si>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</x:si>
  <x:si>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Pass</x:t>
  </x:si>
  <x:si>
    <x:t xml:space="preserve">Mapped requirements whose linked tests passed</x:t>
  </x:si>
  <x:si>
    <x:t xml:space="preserve">Fail</x:t>
  </x:si>
  <x:si>
    <x:t xml:space="preserve">Mapped requirements whose linked tests failed</x:t>
  </x:si>
  <x:si>
    <x:t xml:space="preserve">Not Run</x:t>
  </x:si>
  <x:si>
    <x:t xml:space="preserve">Requirements without executed coverage</x:t>
  </x:si>
  <x:si>
    <x:t xml:space="preserve">Coverage Assessment</x:t>
  </x:si>
  <x:si>
    <x:t xml:space="preserve">Requirements Traceability Matrix</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</x:si>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</x:sst>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5">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
      <x:i/>
      <x:sz val="10"/>
      <x:color rgb="FF334155"/>
      <x:name val="Carlito"/>
    </x:font>
    <x:font>
      <x:i/>
      <x:sz val="11"/>
      <x:color rgb="FF0F172A"/>
      <x:name val="Carlito"/>
    </x:font>
  </x:fonts>
  <x:fills count="2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
      <x:patternFill patternType="solid">
        <x:fgColor rgb="FF173B63"/>
      </x:patternFill>
    </x:fill>
    <x:fill>
      <x:patternFill patternType="solid">
        <x:fgColor rgb="FFD9EAF7"/>
      </x:patternFill>
    </x:fill>
    <x:fill>
      <x:patternFill patternType="solid">
        <x:fgColor rgb="FF0C4A6E"/>
      </x:patternFill>
    </x:fill>
    <x:fill>
      <x:patternFill patternType="solid">
        <x:fgColor rgb="FFE0F2FE"/>
      </x:patternFill>
    </x:fill>
    <x:fill>
      <x:patternFill patternType="solid">
        <x:fgColor rgb="FF0369A1"/>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40">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xf numFmtId="0" fontId="1" fillId="18" borderId="0" xfId="0" applyNumberFormat="1" applyFont="1" applyFill="1" applyBorder="1" applyAlignment="1">
      <x:alignment horizontal="center" vertical="center"/>
    </x:xf>
    <x:xf numFmtId="0" fontId="2"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1" fillId="20" borderId="0" xfId="0" applyNumberFormat="1" applyFont="1" applyFill="1" applyBorder="1" applyAlignment="1">
      <x:alignment horizontal="center" vertical="center"/>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center" wrapText="1"/>
    </x:xf>
    <x:xf numFmtId="0" fontId="0" fillId="22" borderId="0" xfId="0" applyNumberFormat="1" applyFont="1" applyFill="1" applyBorder="1"/>
    <x:xf numFmtId="0" fontId="11" fillId="22" borderId="0" xfId="0" applyNumberFormat="1" applyFont="1" applyFill="1" applyBorder="1"/>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cellXfs>
  <x:cellStyles count="2">
    <x:cellStyle name="Hyperlink" xfId="1"/>
    <x:cellStyle name="Normal" xfId="0"/>
  </x:cellStyles>
  <x:dxfs count="90">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color rgb="FF166534"/>
      </x:font>
      <x:fill>
        <x:patternFill>
          <x:bgColor rgb="FFDCFCE7"/>
        </x:patternFill>
      </x:fill>
    </x:dxf>
    <x:dxf>
      <x:font>
        <x:color rgb="FF166534"/>
      </x:font>
      <x:fill>
        <x:patternFill>
          <x:bgColor rgb="FFDCFCE7"/>
        </x:patternFill>
      </x:fill>
    </x:dxf>
    <x:dxf>
      <x:font>
        <x:color rgb="FF991B1B"/>
      </x:font>
      <x:fill>
        <x:patternFill>
          <x:bgColor rgb="FFFEE2E2"/>
        </x:patternFill>
      </x:fill>
    </x:dxf>
    <x:dxf>
      <x:font>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814c5aae9424cab" /><Relationship Type="http://schemas.openxmlformats.org/officeDocument/2006/relationships/theme" Target="/xl/theme/theme1.xml" Id="Rc5ce69bb971a4ca9" /><Relationship Type="http://schemas.openxmlformats.org/officeDocument/2006/relationships/sharedStrings" Target="/xl/sharedStrings.xml" Id="R7fea7b7e891a4f90" /><Relationship Type="http://schemas.openxmlformats.org/officeDocument/2006/relationships/worksheet" Target="/xl/worksheets/sheet1.xml" Id="Rdf8cf360182f4f7a" /><Relationship Type="http://schemas.openxmlformats.org/officeDocument/2006/relationships/worksheet" Target="/xl/worksheets/sheet2.xml" Id="R396ee8a6882b4899" /><Relationship Type="http://schemas.openxmlformats.org/officeDocument/2006/relationships/worksheet" Target="/xl/worksheets/sheet3.xml" Id="Rc73d54d173db40a4" /><Relationship Type="http://schemas.openxmlformats.org/officeDocument/2006/relationships/worksheet" Target="/xl/worksheets/sheet4.xml" Id="Rfe20f315ce404bcb" /><Relationship Type="http://schemas.openxmlformats.org/officeDocument/2006/relationships/worksheet" Target="/xl/worksheets/sheet5.xml" Id="R2648f26daf7944f0" /></Relationships>
</file>

<file path=xl/drawings/_rels/drawing1.xml.rels>&#65279;<?xml version="1.0" encoding="utf-8"?><Relationships xmlns="http://schemas.openxmlformats.org/package/2006/relationships"><Relationship Type="http://schemas.openxmlformats.org/officeDocument/2006/relationships/chart" Target="/xl/drawings/charts/chart1.xml" Id="R2f335f33282c44bb"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Overall Requirement Coverage</a:t>
            </a:r>
          </a:p>
        </c:rich>
      </c:tx>
      <c:overlay val="0"/>
    </c:title>
    <c:autoTitleDeleted val="0"/>
    <c:plotArea>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f335f33282c44bb"/>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ables/table4.xml><?xml version="1.0" encoding="utf-8"?>
<x:table xmlns:x="http://schemas.openxmlformats.org/spreadsheetml/2006/main" id="5" name="JiraSyncTable" displayName="JiraSyncTable" ref="A4:N122" headerRowCount="1">
  <x:tableColumns count="14">
    <x:tableColumn id="1" name="Jira Key"/>
    <x:tableColumn id="2" name="Work Type"/>
    <x:tableColumn id="3" name="Summary"/>
    <x:tableColumn id="4" name="Workflow Status"/>
    <x:tableColumn id="5" name="Priority"/>
    <x:tableColumn id="6" name="Assignee"/>
    <x:tableColumn id="7" name="Requirement ID"/>
    <x:tableColumn id="8" name="Test Case ID"/>
    <x:tableColumn id="9" name="Defect ID"/>
    <x:tableColumn id="10" name="Execution Status"/>
    <x:tableColumn id="11" name="Automation Status"/>
    <x:tableColumn id="12" name="Testing Link(s)"/>
    <x:tableColumn id="13" name="Parent Key"/>
    <x:tableColumn id="14" name="Jira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7f821d65c964aef" /></Relationships>
</file>

<file path=xl/worksheets/_rels/sheet2.xml.rels>&#65279;<?xml version="1.0" encoding="utf-8"?><Relationships xmlns="http://schemas.openxmlformats.org/package/2006/relationships"><Relationship Type="http://schemas.openxmlformats.org/officeDocument/2006/relationships/table" Target="/xl/tables/table1.xml" Id="Rca4fa6edd20f4149" /></Relationships>
</file>

<file path=xl/worksheets/_rels/sheet3.xml.rels>&#65279;<?xml version="1.0" encoding="utf-8"?><Relationships xmlns="http://schemas.openxmlformats.org/package/2006/relationships"><Relationship Type="http://schemas.openxmlformats.org/officeDocument/2006/relationships/table" Target="/xl/tables/table2.xml" Id="R9a8ae5d44b584bbb" /></Relationships>
</file>

<file path=xl/worksheets/_rels/sheet4.xml.rels>&#65279;<?xml version="1.0" encoding="utf-8"?><Relationships xmlns="http://schemas.openxmlformats.org/package/2006/relationships"><Relationship Type="http://schemas.openxmlformats.org/officeDocument/2006/relationships/table" Target="/xl/tables/table3.xml" Id="R72e6afe27f5a4189" /></Relationships>
</file>

<file path=xl/worksheets/_rels/sheet5.xml.rels>&#65279;<?xml version="1.0" encoding="utf-8"?><Relationships xmlns="http://schemas.openxmlformats.org/package/2006/relationships"><Relationship Type="http://schemas.openxmlformats.org/officeDocument/2006/relationships/table" Target="/xl/tables/table4.xml" Id="R7282cf0489fa4380"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25.5" customHeight="1">
      <x:c r="A1" s="122" t="str">
        <x:v>Automation Exercise | Requirements Traceability Matrix</x:v>
      </x:c>
      <x:c r="B1" s="122"/>
      <x:c r="C1" s="122"/>
      <x:c r="D1" s="122"/>
      <x:c r="E1" s="122"/>
      <x:c r="F1" s="122"/>
      <x:c r="G1" s="122"/>
      <x:c r="H1" s="122"/>
      <x:c r="I1" s="122"/>
      <x:c r="J1" s="122"/>
      <x:c r="K1" s="122"/>
      <x:c r="L1" s="122"/>
      <x:c r="M1" s="122"/>
      <x:c r="N1" s="38"/>
    </x:row>
    <x:row r="2" ht="22.5" customHeight="1">
      <x:c r="A2" s="125" t="str">
        <x:v>Traceability across 44 requirements and 48 Jira Test Cases, with coverage design kept separate from execution outcome</x:v>
      </x:c>
      <x:c r="B2" s="125"/>
      <x:c r="C2" s="125"/>
      <x:c r="D2" s="125"/>
      <x:c r="E2" s="125"/>
      <x:c r="F2" s="125"/>
      <x:c r="G2" s="125"/>
      <x:c r="H2" s="125"/>
      <x:c r="I2" s="125"/>
      <x:c r="J2" s="125"/>
      <x:c r="K2" s="125"/>
      <x:c r="L2" s="125"/>
      <x:c r="M2" s="125"/>
      <x:c r="N2" s="39"/>
    </x:row>
    <x:row r="4">
      <x:c r="A4" s="40" t="s">
        <x:v>0</x:v>
      </x:c>
      <x:c r="B4" s="40"/>
      <x:c r="C4" s="40"/>
      <x:c r="E4" s="40" t="s">
        <x:v>1</x:v>
      </x:c>
      <x:c r="F4" s="40"/>
      <x:c r="G4" s="40"/>
      <x:c r="I4" s="40" t="s">
        <x:v>2</x:v>
      </x:c>
      <x:c r="J4" s="40"/>
      <x:c r="K4" s="40"/>
      <x:c r="M4" s="40" t="s">
        <x:v>3</x:v>
      </x:c>
      <x:c r="N4" s="40"/>
    </x:row>
    <x:row r="5">
      <x:c r="A5" s="41" t="n">
        <x:f>COUNTA(RTM!$A$8:$A$51)</x:f>
        <x:v>44</x:v>
      </x:c>
      <x:c r="B5" s="42"/>
      <x:c r="C5" s="43"/>
      <x:c r="E5" s="41" t="n">
        <x:f>COUNTIF(RTM!$G$8:$G$51,"Fully Covered")</x:f>
        <x:v>44</x:v>
      </x:c>
      <x:c r="F5" s="42"/>
      <x:c r="G5" s="43"/>
      <x:c r="I5" s="41" t="n">
        <x:f>COUNTIF(RTM!$G$8:$G$51,"Partially Covered")</x:f>
        <x:v>0</x:v>
      </x:c>
      <x:c r="J5" s="42"/>
      <x:c r="K5" s="43"/>
      <x:c r="M5" s="41" t="n">
        <x:f>COUNTIF(RTM!$G$8:$G$51,"Not Covered")</x:f>
        <x:v>0</x:v>
      </x:c>
      <x:c r="N5" s="43"/>
    </x:row>
    <x:row r="6">
      <x:c r="A6" s="44"/>
      <x:c r="B6" s="45"/>
      <x:c r="C6" s="46"/>
      <x:c r="E6" s="44"/>
      <x:c r="F6" s="45"/>
      <x:c r="G6" s="46"/>
      <x:c r="I6" s="44"/>
      <x:c r="J6" s="45"/>
      <x:c r="K6" s="46"/>
      <x:c r="M6" s="44"/>
      <x:c r="N6" s="46"/>
    </x:row>
    <x:row r="8">
      <x:c r="A8" s="17" t="s">
        <x:v>4</x:v>
      </x:c>
      <x:c r="B8" s="17" t="s">
        <x:v>5</x:v>
      </x:c>
      <x:c r="C8" s="17" t="s">
        <x:v>6</x:v>
      </x:c>
      <x:c r="D8" s="17" t="s">
        <x:v>7</x:v>
      </x:c>
      <x:c r="E8" s="17" t="s">
        <x:v>8</x:v>
      </x:c>
    </x:row>
    <x:row r="9">
      <x:c r="A9" s="18" t="s">
        <x:v>1</x:v>
      </x:c>
      <x:c r="B9" s="18" t="n">
        <x:f>COUNTIF(RTM!$G$8:$G$51,$A9)</x:f>
        <x:v>44</x:v>
      </x:c>
      <x:c r="C9" s="18" t="n">
        <x:f>COUNTIFS(RTM!$G$8:$G$51,$A9,RTM!$B$8:$B$51,"Site Scenario")</x:f>
        <x:v>26</x:v>
      </x:c>
      <x:c r="D9" s="18" t="n">
        <x:f>COUNTIFS(RTM!$G$8:$G$51,$A9,RTM!$B$8:$B$51,"Site API Scenario")</x:f>
        <x:v>14</x:v>
      </x:c>
      <x:c r="E9" s="18" t="n">
        <x:f>COUNTIFS(RTM!$G$8:$G$51,$A9,RTM!$B$8:$B$51,"Tester-Derived")</x:f>
        <x:v>4</x:v>
      </x:c>
    </x:row>
    <x:row r="10">
      <x:c r="A10" s="18" t="s">
        <x:v>2</x:v>
      </x:c>
      <x:c r="B10" s="18" t="n">
        <x:f>COUNTIF(RTM!$G$8:$G$51,$A10)</x:f>
        <x:v>0</x:v>
      </x:c>
      <x:c r="C10" s="18" t="n">
        <x:f>COUNTIFS(RTM!$G$8:$G$51,$A10,RTM!$B$8:$B$51,"Site Scenario")</x:f>
        <x:v>0</x:v>
      </x:c>
      <x:c r="D10" s="18" t="n">
        <x:f>COUNTIFS(RTM!$G$8:$G$51,$A10,RTM!$B$8:$B$51,"Site API Scenario")</x:f>
        <x:v>0</x:v>
      </x:c>
      <x:c r="E10" s="18" t="n">
        <x:f>COUNTIFS(RTM!$G$8:$G$51,$A10,RTM!$B$8:$B$51,"Tester-Derived")</x:f>
        <x:v>0</x:v>
      </x:c>
    </x:row>
    <x:row r="11">
      <x:c r="A11" s="18" t="s">
        <x:v>3</x:v>
      </x:c>
      <x:c r="B11" s="18" t="n">
        <x:f>COUNTIF(RTM!$G$8:$G$51,$A11)</x:f>
        <x:v>0</x:v>
      </x:c>
      <x:c r="C11" s="18" t="n">
        <x:f>COUNTIFS(RTM!$G$8:$G$51,$A11,RTM!$B$8:$B$51,"Site Scenario")</x:f>
        <x:v>0</x:v>
      </x:c>
      <x:c r="D11" s="18" t="n">
        <x:f>COUNTIFS(RTM!$G$8:$G$51,$A11,RTM!$B$8:$B$51,"Site API Scenario")</x:f>
        <x:v>0</x:v>
      </x:c>
      <x:c r="E11" s="18" t="n">
        <x:f>COUNTIFS(RTM!$G$8:$G$51,$A11,RTM!$B$8:$B$51,"Tester-Derived")</x:f>
        <x:v>0</x:v>
      </x:c>
    </x:row>
    <x:row r="14">
      <x:c r="A14" s="19" t="s">
        <x:v>9</x:v>
      </x:c>
      <x:c r="B14" s="19" t="s">
        <x:v>5</x:v>
      </x:c>
      <x:c r="C14" s="19" t="s">
        <x:v>10</x:v>
      </x:c>
      <x:c r="D14" s="19" t="s">
        <x:v>11</x:v>
      </x:c>
    </x:row>
    <x:row r="15" ht="37.5">
      <x:c r="A15" s="20" t="s">
        <x:v>12</x:v>
      </x:c>
      <x:c r="B15" s="20" t="n">
        <x:f>COUNTIF(RTM!$O$8:$O$51,$A15)</x:f>
        <x:v>30</x:v>
      </x:c>
      <x:c r="C15" s="20" t="n">
        <x:f>0</x:f>
        <x:v>0</x:v>
      </x:c>
      <x:c r="D15" s="20" t="s">
        <x:v>13</x:v>
      </x:c>
    </x:row>
    <x:row r="16" ht="37.5">
      <x:c r="A16" s="20" t="s">
        <x:v>14</x:v>
      </x:c>
      <x:c r="B16" s="20" t="n">
        <x:f>COUNTIF(RTM!$O$8:$O$51,$A16)</x:f>
        <x:v>2</x:v>
      </x:c>
      <x:c r="C16" s="20" t="n">
        <x:f>COUNTIF(RTM!O8:O107,"Fail")</x:f>
        <x:v>2</x:v>
      </x:c>
      <x:c r="D16" s="20" t="s">
        <x:v>15</x:v>
      </x:c>
    </x:row>
    <x:row r="17" ht="25">
      <x:c r="A17" s="20" t="s">
        <x:v>16</x:v>
      </x:c>
      <x:c r="B17" s="20" t="n">
        <x:f>COUNTIF(RTM!$O$8:$O$51,$A17)</x:f>
        <x:v>12</x:v>
      </x:c>
      <x:c r="C17" s="20" t="n">
        <x:f>0</x:f>
        <x:v>0</x:v>
      </x:c>
      <x:c r="D17" s="20" t="s">
        <x:v>17</x:v>
      </x:c>
    </x:row>
    <x:row r="20" ht="15.5">
      <x:c r="A20" s="28" t="s">
        <x:v>18</x:v>
      </x:c>
      <x:c r="B20" s="28"/>
      <x:c r="C20" s="28"/>
      <x:c r="D20" s="28"/>
      <x:c r="E20" s="28"/>
      <x:c r="F20" s="28"/>
      <x:c r="G20" s="28"/>
      <x:c r="H20" s="28"/>
      <x:c r="I20" s="28"/>
      <x:c r="J20" s="28"/>
      <x:c r="K20" s="28"/>
      <x:c r="L20" s="28"/>
      <x:c r="M20" s="28"/>
      <x:c r="N20" s="28"/>
    </x:row>
    <x:row r="21" ht="30" customHeight="1">
      <x:c r="A21" s="29" t="str">
        <x:v>Coverage design is complete for all 44 requirements. Jira is the operational traceability layer, and this workbook is the formal synchronized record. AEQA-107 / AE-ORDER-001 is now reconciled as Passed with screenshot evidence; 12 newly linked manual cases remain Not Run. Current reconciled requirement execution: 30 Pass, 2 Fail, and 12 Not Run. All 14 official API requirements remain independently verified by Postman and Playwright.</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4:C4"/>
    <x:mergeCell ref="A5:C6"/>
    <x:mergeCell ref="E4:G4"/>
    <x:mergeCell ref="E5:G6"/>
    <x:mergeCell ref="I4:K4"/>
    <x:mergeCell ref="I5:K6"/>
    <x:mergeCell ref="M4:N4"/>
    <x:mergeCell ref="M5:N6"/>
    <x:mergeCell ref="A1:M1"/>
    <x:mergeCell ref="A2:M2"/>
  </x:mergeCells>
  <x:pageMargins left="0.7" right="0.7" top="0.75" bottom="0.75" header="0.3" footer="0.3"/>
  <x:drawing xmlns:r="http://schemas.openxmlformats.org/officeDocument/2006/relationships" r:id="R97f821d65c964aef"/>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19</x:v>
      </x:c>
      <x:c r="B1" s="38"/>
      <x:c r="C1" s="38"/>
      <x:c r="D1" s="38"/>
      <x:c r="E1" s="38"/>
      <x:c r="F1" s="38"/>
      <x:c r="G1" s="38"/>
      <x:c r="H1" s="38"/>
      <x:c r="I1" s="38"/>
      <x:c r="J1" s="38"/>
      <x:c r="K1" s="38"/>
      <x:c r="L1" s="38"/>
      <x:c r="M1" s="38"/>
    </x:row>
    <x:row r="2" ht="24" customHeight="1">
      <x:c r="A2" s="39" t="str">
        <x:v>Coverage synchronized with 48 Jira Test Cases: 36 executed UI/API cases plus 12 linked manual cases awaiting execution.</x:v>
      </x:c>
      <x:c r="B2" s="39"/>
      <x:c r="C2" s="39"/>
      <x:c r="D2" s="39"/>
      <x:c r="E2" s="39"/>
      <x:c r="F2" s="39"/>
      <x:c r="G2" s="39"/>
      <x:c r="H2" s="39"/>
      <x:c r="I2" s="39"/>
      <x:c r="J2" s="39"/>
      <x:c r="K2" s="39"/>
      <x:c r="L2" s="39"/>
      <x:c r="M2" s="39"/>
      <x:c r="N2"/>
      <x:c r="O2"/>
      <x:c r="P2"/>
      <x:c r="Q2"/>
      <x:c r="R2"/>
    </x:row>
    <x:row r="4">
      <x:c r="A4" s="47" t="s">
        <x:v>20</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
AE-SIGNUP-006</x:v>
      </x:c>
      <x:c r="G8" s="115" t="str">
        <x:v>Fully Covered</x:v>
      </x:c>
      <x:c r="H8" s="89" t="str">
        <x:v>Test design is complete. Jira AEQA-106 (AE-SIGNUP-006) is linked to AEQA-1; execution remains pending.</x:v>
      </x:c>
      <x:c r="I8" s="107" t="str">
        <x:v>Functional — Positive</x:v>
      </x:c>
      <x:c r="J8" s="107" t="str">
        <x:v>Critical</x:v>
      </x:c>
      <x:c r="K8" s="107" t="str">
        <x:v>QA | automationexercise.com</x:v>
      </x:c>
      <x:c r="L8" s="107" t="str">
        <x:v>Not Run</x:v>
      </x:c>
      <x:c r="M8" s="107" t="str">
        <x:v>N/A</x:v>
      </x:c>
      <x:c r="N8" s="107" t="str">
        <x:v>Not Automated</x:v>
      </x:c>
      <x:c r="O8" s="116" t="str">
        <x:v>Not Run</x:v>
      </x:c>
      <x:c r="P8" s="89" t="str">
        <x:v>..\Screenshots\AE-SIGNUP-001.png
..\Screenshots\AE-SIGNUP-002.png
..\Screenshots\AE-ACCOUNT-001.png</x:v>
      </x:c>
      <x:c r="Q8" s="89"/>
      <x:c r="R8" s="90" t="str">
        <x:v>Design gap closed in Jira. Execute AE-SIGNUP-006 (AEQA-106) and reconcile the result, evidence, and any defect back to this RTM.</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t="str">
        <x:v>AE-ORDER-001</x:v>
      </x:c>
      <x:c r="G21" s="119" t="str">
        <x:v>Fully Covered</x:v>
      </x:c>
      <x:c r="H21" s="93" t="str">
        <x:v>Executed through Jira Test Case AEQA-107 / AE-ORDER-001. Registration during checkout completed successfully and the expected order confirmation was displayed.</x:v>
      </x:c>
      <x:c r="I21" s="109" t="str">
        <x:v>End-to-End — Positive</x:v>
      </x:c>
      <x:c r="J21" s="109" t="str">
        <x:v>Critical</x:v>
      </x:c>
      <x:c r="K21" s="109" t="str">
        <x:v>QA | automationexercise.com</x:v>
      </x:c>
      <x:c r="L21" s="109" t="str">
        <x:v>Pass</x:v>
      </x:c>
      <x:c r="M21" s="109" t="str">
        <x:v>N/A</x:v>
      </x:c>
      <x:c r="N21" s="109" t="str">
        <x:v>Not Automated</x:v>
      </x:c>
      <x:c r="O21" s="120" t="str">
        <x:v>Pass</x:v>
      </x:c>
      <x:c r="P21" s="93" t="str">
        <x:v>..\Screenshots\AE-ORDER-001.png</x:v>
      </x:c>
      <x:c r="Q21" s="93"/>
      <x:c r="R21" s="94" t="str">
        <x:v>Execution synchronized from Jira AEQA-107 on 2026-08-12. Passed result, actual outcome, and screenshot evidence are retained in Jira and this RTM.</x:v>
      </x:c>
    </x:row>
    <x:row r="22" ht="48" customHeight="1">
      <x:c r="A22" s="108" t="str">
        <x:v>REQ-ORDER-002</x:v>
      </x:c>
      <x:c r="B22" s="109" t="str">
        <x:v>Site Scenario</x:v>
      </x:c>
      <x:c r="C22" s="109" t="str">
        <x:v>SRC-TC-15</x:v>
      </x:c>
      <x:c r="D22" s="109" t="str">
        <x:v>Checkout</x:v>
      </x:c>
      <x:c r="E22" s="109" t="str">
        <x:v>Place Order: Register before Checkout</x:v>
      </x:c>
      <x:c r="F22" s="109" t="str">
        <x:v>AE-ORDER-002</x:v>
      </x:c>
      <x:c r="G22" s="119" t="str">
        <x:v>Fully Covered</x:v>
      </x:c>
      <x:c r="H22" s="93" t="str">
        <x:v>Test design is complete. Jira AEQA-108 (AE-ORDER-002) is linked to AEQA-15; execution remains pending.</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Design gap closed in Jira. Execute AE-ORDER-002 (AEQA-108) and reconcile the result, evidence, and any defect back to this RTM.</x:v>
      </x:c>
    </x:row>
    <x:row r="23" ht="48" customHeight="1">
      <x:c r="A23" s="108" t="str">
        <x:v>REQ-ORDER-003</x:v>
      </x:c>
      <x:c r="B23" s="109" t="str">
        <x:v>Site Scenario</x:v>
      </x:c>
      <x:c r="C23" s="109" t="str">
        <x:v>SRC-TC-16</x:v>
      </x:c>
      <x:c r="D23" s="109" t="str">
        <x:v>Checkout</x:v>
      </x:c>
      <x:c r="E23" s="109" t="str">
        <x:v>Place Order: Login before Checkout</x:v>
      </x:c>
      <x:c r="F23" s="109" t="str">
        <x:v>AE-ORDER-003</x:v>
      </x:c>
      <x:c r="G23" s="119" t="str">
        <x:v>Fully Covered</x:v>
      </x:c>
      <x:c r="H23" s="93" t="str">
        <x:v>Test design is complete. Jira AEQA-109 (AE-ORDER-003) is linked to AEQA-16; execution remains pending.</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Design gap closed in Jira. Execute AE-ORDER-003 (AEQA-109) and reconcile the result, evidence, and any defect back to this RTM.</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t="str">
        <x:v>AE-CATALOG-001</x:v>
      </x:c>
      <x:c r="G25" s="119" t="str">
        <x:v>Fully Covered</x:v>
      </x:c>
      <x:c r="H25" s="93" t="str">
        <x:v>Test design is complete. Jira AEQA-110 (AE-CATALOG-001) is linked to AEQA-18; execution remains pending.</x:v>
      </x:c>
      <x:c r="I25" s="109" t="str">
        <x:v>Functional — Positive</x:v>
      </x:c>
      <x:c r="J25" s="109" t="str">
        <x:v>Medium</x:v>
      </x:c>
      <x:c r="K25" s="109" t="str">
        <x:v>QA | automationexercise.com</x:v>
      </x:c>
      <x:c r="L25" s="109" t="str">
        <x:v>Not Run</x:v>
      </x:c>
      <x:c r="M25" s="109" t="str">
        <x:v>N/A</x:v>
      </x:c>
      <x:c r="N25" s="109" t="str">
        <x:v>Not Automated</x:v>
      </x:c>
      <x:c r="O25" s="120" t="str">
        <x:v>Not Run</x:v>
      </x:c>
      <x:c r="P25" s="93"/>
      <x:c r="Q25" s="93"/>
      <x:c r="R25" s="94" t="str">
        <x:v>Design gap closed in Jira. Execute AE-CATALOG-001 (AEQA-110) and reconcile the result, evidence, and any defect back to this RTM.</x:v>
      </x:c>
    </x:row>
    <x:row r="26" ht="48" customHeight="1">
      <x:c r="A26" s="108" t="str">
        <x:v>REQ-CATALOG-002</x:v>
      </x:c>
      <x:c r="B26" s="109" t="str">
        <x:v>Site Scenario</x:v>
      </x:c>
      <x:c r="C26" s="109" t="str">
        <x:v>SRC-TC-19</x:v>
      </x:c>
      <x:c r="D26" s="109" t="str">
        <x:v>Catalog</x:v>
      </x:c>
      <x:c r="E26" s="109" t="str">
        <x:v>View &amp; Cart Brand Products</x:v>
      </x:c>
      <x:c r="F26" s="109" t="str">
        <x:v>AE-CATALOG-002</x:v>
      </x:c>
      <x:c r="G26" s="119" t="str">
        <x:v>Fully Covered</x:v>
      </x:c>
      <x:c r="H26" s="93" t="str">
        <x:v>Test design is complete. Jira AEQA-111 (AE-CATALOG-002) is linked to AEQA-19; execution remains pending.</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Design gap closed in Jira. Execute AE-CATALOG-002 (AEQA-111) and reconcile the result, evidence, and any defect back to this RTM.</x:v>
      </x:c>
    </x:row>
    <x:row r="27" ht="48" customHeight="1">
      <x:c r="A27" s="108" t="str">
        <x:v>REQ-CART-004</x:v>
      </x:c>
      <x:c r="B27" s="109" t="str">
        <x:v>Site Scenario</x:v>
      </x:c>
      <x:c r="C27" s="109" t="str">
        <x:v>SRC-TC-20</x:v>
      </x:c>
      <x:c r="D27" s="109" t="str">
        <x:v>Search / Cart</x:v>
      </x:c>
      <x:c r="E27" s="109" t="str">
        <x:v>Search Products and Verify Cart After Login</x:v>
      </x:c>
      <x:c r="F27" s="109" t="str">
        <x:v>AE-CART-004</x:v>
      </x:c>
      <x:c r="G27" s="119" t="str">
        <x:v>Fully Covered</x:v>
      </x:c>
      <x:c r="H27" s="93" t="str">
        <x:v>Test design is complete. Jira AEQA-112 (AE-CART-004) is linked to AEQA-20; execution remains pending.</x:v>
      </x:c>
      <x:c r="I27" s="109" t="str">
        <x:v>End-to-End — Positive</x:v>
      </x:c>
      <x:c r="J27" s="109" t="str">
        <x:v>High</x:v>
      </x:c>
      <x:c r="K27" s="109" t="str">
        <x:v>QA | automationexercise.com</x:v>
      </x:c>
      <x:c r="L27" s="109" t="str">
        <x:v>Not Run</x:v>
      </x:c>
      <x:c r="M27" s="109" t="str">
        <x:v>N/A</x:v>
      </x:c>
      <x:c r="N27" s="109" t="str">
        <x:v>Not Automated</x:v>
      </x:c>
      <x:c r="O27" s="120" t="str">
        <x:v>Not Run</x:v>
      </x:c>
      <x:c r="P27" s="93"/>
      <x:c r="Q27" s="93"/>
      <x:c r="R27" s="94" t="str">
        <x:v>Design gap closed in Jira. Execute AE-CART-004 (AEQA-112) and reconcile the result, evidence, and any defect back to this RTM.</x:v>
      </x:c>
    </x:row>
    <x:row r="28" ht="48" customHeight="1">
      <x:c r="A28" s="108" t="str">
        <x:v>REQ-REVIEW-001</x:v>
      </x:c>
      <x:c r="B28" s="109" t="str">
        <x:v>Site Scenario</x:v>
      </x:c>
      <x:c r="C28" s="109" t="str">
        <x:v>SRC-TC-21</x:v>
      </x:c>
      <x:c r="D28" s="109" t="str">
        <x:v>Product Review</x:v>
      </x:c>
      <x:c r="E28" s="109" t="str">
        <x:v>Add review on product</x:v>
      </x:c>
      <x:c r="F28" s="109" t="str">
        <x:v>AE-REVIEW-001</x:v>
      </x:c>
      <x:c r="G28" s="119" t="str">
        <x:v>Fully Covered</x:v>
      </x:c>
      <x:c r="H28" s="93" t="str">
        <x:v>Test design is complete. Jira AEQA-113 (AE-REVIEW-001) is linked to AEQA-21; execution remains pending.</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Design gap closed in Jira. Execute AE-REVIEW-001 (AEQA-113) and reconcile the result, evidence, and any defect back to this RTM.</x:v>
      </x:c>
    </x:row>
    <x:row r="29" ht="48" customHeight="1">
      <x:c r="A29" s="108" t="str">
        <x:v>REQ-CART-005</x:v>
      </x:c>
      <x:c r="B29" s="109" t="str">
        <x:v>Site Scenario</x:v>
      </x:c>
      <x:c r="C29" s="109" t="str">
        <x:v>SRC-TC-22</x:v>
      </x:c>
      <x:c r="D29" s="109" t="str">
        <x:v>Recommended Items</x:v>
      </x:c>
      <x:c r="E29" s="109" t="str">
        <x:v>Add to cart from Recommended items</x:v>
      </x:c>
      <x:c r="F29" s="109" t="str">
        <x:v>AE-CART-005</x:v>
      </x:c>
      <x:c r="G29" s="119" t="str">
        <x:v>Fully Covered</x:v>
      </x:c>
      <x:c r="H29" s="93" t="str">
        <x:v>Test design is complete. Jira AEQA-114 (AE-CART-005) is linked to AEQA-22; execution remains pending.</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Design gap closed in Jira. Execute AE-CART-005 (AEQA-114) and reconcile the result, evidence, and any defect back to this RTM.</x:v>
      </x:c>
    </x:row>
    <x:row r="30" ht="48" customHeight="1">
      <x:c r="A30" s="108" t="str">
        <x:v>REQ-ORDER-004</x:v>
      </x:c>
      <x:c r="B30" s="109" t="str">
        <x:v>Site Scenario</x:v>
      </x:c>
      <x:c r="C30" s="109" t="str">
        <x:v>SRC-TC-23</x:v>
      </x:c>
      <x:c r="D30" s="109" t="str">
        <x:v>Checkout</x:v>
      </x:c>
      <x:c r="E30" s="109" t="str">
        <x:v>Verify address details in checkout page</x:v>
      </x:c>
      <x:c r="F30" s="109" t="str">
        <x:v>AE-ORDER-004</x:v>
      </x:c>
      <x:c r="G30" s="119" t="str">
        <x:v>Fully Covered</x:v>
      </x:c>
      <x:c r="H30" s="93" t="str">
        <x:v>Test design is complete. Jira AEQA-115 (AE-ORDER-004) is linked to AEQA-23; execution remains pending.</x:v>
      </x:c>
      <x:c r="I30" s="109" t="str">
        <x:v>Functional — Positive</x:v>
      </x:c>
      <x:c r="J30" s="109" t="str">
        <x:v>Critical</x:v>
      </x:c>
      <x:c r="K30" s="109" t="str">
        <x:v>QA | automationexercise.com</x:v>
      </x:c>
      <x:c r="L30" s="109" t="str">
        <x:v>Not Run</x:v>
      </x:c>
      <x:c r="M30" s="109" t="str">
        <x:v>N/A</x:v>
      </x:c>
      <x:c r="N30" s="109" t="str">
        <x:v>Not Automated</x:v>
      </x:c>
      <x:c r="O30" s="120" t="str">
        <x:v>Not Run</x:v>
      </x:c>
      <x:c r="P30" s="93"/>
      <x:c r="Q30" s="93"/>
      <x:c r="R30" s="94" t="str">
        <x:v>Design gap closed in Jira. Execute AE-ORDER-004 (AEQA-115) and reconcile the result, evidence, and any defect back to this RTM.</x:v>
      </x:c>
    </x:row>
    <x:row r="31" ht="48" customHeight="1">
      <x:c r="A31" s="108" t="str">
        <x:v>REQ-ORDER-005</x:v>
      </x:c>
      <x:c r="B31" s="109" t="str">
        <x:v>Site Scenario</x:v>
      </x:c>
      <x:c r="C31" s="109" t="str">
        <x:v>SRC-TC-24</x:v>
      </x:c>
      <x:c r="D31" s="109" t="str">
        <x:v>Checkout / Invoice</x:v>
      </x:c>
      <x:c r="E31" s="109" t="str">
        <x:v>Download Invoice after purchase order</x:v>
      </x:c>
      <x:c r="F31" s="109" t="str">
        <x:v>AE-ORDER-005</x:v>
      </x:c>
      <x:c r="G31" s="119" t="str">
        <x:v>Fully Covered</x:v>
      </x:c>
      <x:c r="H31" s="93" t="str">
        <x:v>Test design is complete. Jira AEQA-116 (AE-ORDER-005) is linked to AEQA-24; execution remains pending.</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Design gap closed in Jira. Execute AE-ORDER-005 (AEQA-116) and reconcile the result, evidence, and any defect back to this RTM.</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t="str">
        <x:v>AE-NAV-002</x:v>
      </x:c>
      <x:c r="G32" s="119" t="str">
        <x:v>Fully Covered</x:v>
      </x:c>
      <x:c r="H32" s="93" t="str">
        <x:v>Test design is complete. Jira AEQA-117 (AE-NAV-002) is linked to AEQA-25; execution remains pending.</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Design gap closed in Jira. Execute AE-NAV-002 (AEQA-117) and reconcile the result, evidence, and any defect back to this RTM.</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t="str">
        <x:v>AE-NAV-003</x:v>
      </x:c>
      <x:c r="G33" s="119" t="str">
        <x:v>Fully Covered</x:v>
      </x:c>
      <x:c r="H33" s="93" t="str">
        <x:v>Test design is complete. Jira AEQA-118 (AE-NAV-003) is linked to AEQA-26; execution remains pending.</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Design gap closed in Jira. Execute AE-NAV-003 (AEQA-118) and reconcile the result, evidence, and any defect back to this RTM.</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Fresh Postman Collection Runner execution and independent Playwright verification both passed the HTTP transport, documented JSON responseCode, and scenario-specific payload or message assertions.</x:v>
      </x:c>
      <x:c r="I38" s="109" t="str">
        <x:v>API — Positive</x:v>
      </x:c>
      <x:c r="J38" s="109" t="str">
        <x:v>High</x:v>
      </x:c>
      <x:c r="K38" s="109" t="str">
        <x:v>QA | automationexercise.com</x:v>
      </x:c>
      <x:c r="L38" s="109" t="str">
        <x:v>N/A</x:v>
      </x:c>
      <x:c r="M38" s="109" t="str">
        <x:v>Pass</x:v>
      </x:c>
      <x:c r="N38" s="117" t="str">
        <x:v>Pass</x:v>
      </x:c>
      <x:c r="O38" s="117" t="str">
        <x:v>Pass</x:v>
      </x:c>
      <x:c r="P38" s="93"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93"/>
      <x:c r="R38" s="94" t="str">
        <x:v>200 | products list returned. Fresh Postman run: 3/3 assertions passed on 2026-08-09; full collection: 42/42 passed, 0 errors. Historical August 1 baseline remains retained separately for auditability.</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Fresh Postman Collection Runner execution and independent Playwright verification both passed the HTTP transport, documented JSON responseCode, and scenario-specific payload or message assertions.</x:v>
      </x:c>
      <x:c r="I39" s="109" t="str">
        <x:v>API — Negative</x:v>
      </x:c>
      <x:c r="J39" s="109" t="str">
        <x:v>Medium</x:v>
      </x:c>
      <x:c r="K39" s="109" t="str">
        <x:v>QA | automationexercise.com</x:v>
      </x:c>
      <x:c r="L39" s="109" t="str">
        <x:v>N/A</x:v>
      </x:c>
      <x:c r="M39" s="109" t="str">
        <x:v>Pass</x:v>
      </x:c>
      <x:c r="N39" s="117" t="str">
        <x:v>Pass</x:v>
      </x:c>
      <x:c r="O39" s="117" t="str">
        <x:v>Pass</x:v>
      </x:c>
      <x:c r="P39" s="93"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93"/>
      <x:c r="R39" s="94" t="str">
        <x:v>200 transport | responseCode 405 | method not supported. Fresh Postman run: 3/3 assertions passed on 2026-08-09; full collection: 42/42 passed, 0 errors. Historical August 1 baseline remains retained separately for auditability.</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Fresh Postman Collection Runner execution and independent Playwright verification both passed the HTTP transport, documented JSON responseCode, and scenario-specific payload or message assertions.</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93"/>
      <x:c r="R40" s="94" t="str">
        <x:v>200 | brands list returned. Fresh Postman run: 3/3 assertions passed on 2026-08-09; full collection: 42/42 passed, 0 errors. Historical August 1 baseline remains retained separately for auditability.</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Fresh Postman Collection Runner execution and independent Playwright verification both passed the HTTP transport, documented JSON responseCode, and scenario-specific payload or message assertions.</x:v>
      </x:c>
      <x:c r="I41" s="109" t="str">
        <x:v>API — Negative</x:v>
      </x:c>
      <x:c r="J41" s="109" t="str">
        <x:v>Medium</x:v>
      </x:c>
      <x:c r="K41" s="109" t="str">
        <x:v>QA | automationexercise.com</x:v>
      </x:c>
      <x:c r="L41" s="109" t="str">
        <x:v>N/A</x:v>
      </x:c>
      <x:c r="M41" s="109" t="str">
        <x:v>Pass</x:v>
      </x:c>
      <x:c r="N41" s="117" t="str">
        <x:v>Pass</x:v>
      </x:c>
      <x:c r="O41" s="117" t="str">
        <x:v>Pass</x:v>
      </x:c>
      <x:c r="P41" s="93"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93"/>
      <x:c r="R41" s="94" t="str">
        <x:v>200 transport | responseCode 405 | method not supported. Fresh Postman run: 3/3 assertions passed on 2026-08-09; full collection: 42/42 passed, 0 errors. Historical August 1 baseline remains retained separately for auditability.</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Fresh Postman Collection Runner execution and independent Playwright verification both passed the HTTP transport, documented JSON responseCode, and scenario-specific payload or message assertions.</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93"/>
      <x:c r="R42" s="94" t="str">
        <x:v>200 | searched products list returned. Fresh Postman run: 3/3 assertions passed on 2026-08-09; full collection: 42/42 passed, 0 errors. Historical August 1 baseline remains retained separately for auditability.</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Fresh Postman Collection Runner execution and independent Playwright verification both passed the HTTP transport, documented JSON responseCode, and scenario-specific payload or message assertions.</x:v>
      </x:c>
      <x:c r="I43" s="109" t="str">
        <x:v>API — Negative</x:v>
      </x:c>
      <x:c r="J43" s="109" t="str">
        <x:v>High</x:v>
      </x:c>
      <x:c r="K43" s="109" t="str">
        <x:v>QA | automationexercise.com</x:v>
      </x:c>
      <x:c r="L43" s="109" t="str">
        <x:v>N/A</x:v>
      </x:c>
      <x:c r="M43" s="109" t="str">
        <x:v>Pass</x:v>
      </x:c>
      <x:c r="N43" s="117" t="str">
        <x:v>Pass</x:v>
      </x:c>
      <x:c r="O43" s="117" t="str">
        <x:v>Pass</x:v>
      </x:c>
      <x:c r="P43" s="93"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93"/>
      <x:c r="R43" s="94" t="str">
        <x:v>200 transport | responseCode 400 | missing search_product message returned. Fresh Postman run: 3/3 assertions passed on 2026-08-09; full collection: 42/42 passed, 0 errors. Historical August 1 baseline remains retained separately for auditability.</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Fresh Postman Collection Runner execution and independent Playwright verification both passed the HTTP transport, documented JSON responseCode, and scenario-specific payload or message assertions.</x:v>
      </x:c>
      <x:c r="I44" s="109" t="str">
        <x:v>API — Positive</x:v>
      </x:c>
      <x:c r="J44" s="109" t="str">
        <x:v>Critical</x:v>
      </x:c>
      <x:c r="K44" s="109" t="str">
        <x:v>QA | automationexercise.com</x:v>
      </x:c>
      <x:c r="L44" s="109" t="str">
        <x:v>N/A</x:v>
      </x:c>
      <x:c r="M44" s="109" t="str">
        <x:v>Pass</x:v>
      </x:c>
      <x:c r="N44" s="117" t="str">
        <x:v>Pass</x:v>
      </x:c>
      <x:c r="O44" s="117" t="str">
        <x:v>Pass</x:v>
      </x:c>
      <x:c r="P44" s="93"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93"/>
      <x:c r="R44" s="94" t="str">
        <x:v>200 transport | responseCode 200 | User exists!. Fresh Postman run: 3/3 assertions passed on 2026-08-09; full collection: 42/42 passed, 0 errors. Historical August 1 baseline remains retained separately for auditability.</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Fresh Postman Collection Runner execution and independent Playwright verification both passed the HTTP transport, documented JSON responseCode, and scenario-specific payload or message assertions.</x:v>
      </x:c>
      <x:c r="I45" s="109" t="str">
        <x:v>API — Negative</x:v>
      </x:c>
      <x:c r="J45" s="109" t="str">
        <x:v>High</x:v>
      </x:c>
      <x:c r="K45" s="109" t="str">
        <x:v>QA | automationexercise.com</x:v>
      </x:c>
      <x:c r="L45" s="109" t="str">
        <x:v>N/A</x:v>
      </x:c>
      <x:c r="M45" s="109" t="str">
        <x:v>Pass</x:v>
      </x:c>
      <x:c r="N45" s="117" t="str">
        <x:v>Pass</x:v>
      </x:c>
      <x:c r="O45" s="117" t="str">
        <x:v>Pass</x:v>
      </x:c>
      <x:c r="P45" s="93"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93"/>
      <x:c r="R45" s="94" t="str">
        <x:v>200 transport | responseCode 400 | missing credential message returned. Fresh Postman run: 3/3 assertions passed on 2026-08-09; full collection: 42/42 passed, 0 errors. Historical August 1 baseline remains retained separately for auditability.</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Fresh Postman Collection Runner execution and independent Playwright verification both passed the HTTP transport, documented JSON responseCode, and scenario-specific payload or message assertions.</x:v>
      </x:c>
      <x:c r="I46" s="109" t="str">
        <x:v>API — Negative</x:v>
      </x:c>
      <x:c r="J46" s="109" t="str">
        <x:v>Medium</x:v>
      </x:c>
      <x:c r="K46" s="109" t="str">
        <x:v>QA | automationexercise.com</x:v>
      </x:c>
      <x:c r="L46" s="109" t="str">
        <x:v>N/A</x:v>
      </x:c>
      <x:c r="M46" s="109" t="str">
        <x:v>Pass</x:v>
      </x:c>
      <x:c r="N46" s="117" t="str">
        <x:v>Pass</x:v>
      </x:c>
      <x:c r="O46" s="117" t="str">
        <x:v>Pass</x:v>
      </x:c>
      <x:c r="P46" s="93"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93"/>
      <x:c r="R46" s="94" t="str">
        <x:v>200 transport | responseCode 405 | method not supported. Fresh Postman run: 3/3 assertions passed on 2026-08-09; full collection: 42/42 passed, 0 errors. Historical August 1 baseline remains retained separately for auditability.</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Fresh Postman Collection Runner execution and independent Playwright verification both passed the HTTP transport, documented JSON responseCode, and scenario-specific payload or message assertions.</x:v>
      </x:c>
      <x:c r="I47" s="109" t="str">
        <x:v>API — Negative</x:v>
      </x:c>
      <x:c r="J47" s="109" t="str">
        <x:v>High</x:v>
      </x:c>
      <x:c r="K47" s="109" t="str">
        <x:v>QA | automationexercise.com</x:v>
      </x:c>
      <x:c r="L47" s="109" t="str">
        <x:v>N/A</x:v>
      </x:c>
      <x:c r="M47" s="109" t="str">
        <x:v>Pass</x:v>
      </x:c>
      <x:c r="N47" s="117" t="str">
        <x:v>Pass</x:v>
      </x:c>
      <x:c r="O47" s="117" t="str">
        <x:v>Pass</x:v>
      </x:c>
      <x:c r="P47" s="93"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93"/>
      <x:c r="R47" s="94" t="str">
        <x:v>200 transport | responseCode 404 | User not found!. Fresh Postman run: 3/3 assertions passed on 2026-08-09; full collection: 42/42 passed, 0 errors. Historical August 1 baseline remains retained separately for auditability.</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Fresh Postman Collection Runner execution and independent Playwright verification both passed the HTTP transport, documented JSON responseCode, and scenario-specific payload or message assertions.</x:v>
      </x:c>
      <x:c r="I48" s="109" t="str">
        <x:v>API — Positive</x:v>
      </x:c>
      <x:c r="J48" s="109" t="str">
        <x:v>Critical</x:v>
      </x:c>
      <x:c r="K48" s="109" t="str">
        <x:v>QA | automationexercise.com</x:v>
      </x:c>
      <x:c r="L48" s="109" t="str">
        <x:v>N/A</x:v>
      </x:c>
      <x:c r="M48" s="109" t="str">
        <x:v>Pass</x:v>
      </x:c>
      <x:c r="N48" s="117" t="str">
        <x:v>Pass</x:v>
      </x:c>
      <x:c r="O48" s="117" t="str">
        <x:v>Pass</x:v>
      </x:c>
      <x:c r="P48" s="93"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93"/>
      <x:c r="R48" s="94" t="str">
        <x:v>200 transport | responseCode 201 | User created!. Fresh Postman run: 3/3 assertions passed on 2026-08-09; full collection: 42/42 passed, 0 errors. Historical August 1 baseline remains retained separately for auditability.</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Fresh Postman Collection Runner execution and independent Playwright verification both passed the HTTP transport, documented JSON responseCode, and scenario-specific payload or message assertions.</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93"/>
      <x:c r="R49" s="94" t="str">
        <x:v>200 transport | responseCode 200 | Account deleted!. Fresh Postman run: 3/3 assertions passed on 2026-08-09; full collection: 42/42 passed, 0 errors. Historical August 1 baseline remains retained separately for auditability.</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Fresh Postman Collection Runner execution and independent Playwright verification both passed the HTTP transport, documented JSON responseCode, and scenario-specific payload or message assertions.</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93"/>
      <x:c r="R50" s="94" t="str">
        <x:v>200 transport | responseCode 200 | User updated!. Fresh Postman run: 3/3 assertions passed on 2026-08-09; full collection: 42/42 passed, 0 errors. Historical August 1 baseline remains retained separately for auditability.</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Fresh Postman Collection Runner execution and independent Playwright verification both passed the HTTP transport, documented JSON responseCode, and scenario-specific payload or message assertions.</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97"/>
      <x:c r="R51" s="98"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ca4fa6edd20f4149"/>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21</x:v>
      </x:c>
      <x:c r="B1" s="38"/>
      <x:c r="C1" s="38"/>
      <x:c r="D1" s="38"/>
    </x:row>
    <x:row r="2" ht="24" customHeight="1">
      <x:c r="A2" s="39" t="s">
        <x:v>22</x:v>
      </x:c>
      <x:c r="B2" s="39"/>
      <x:c r="C2" s="39"/>
      <x:c r="D2" s="39"/>
    </x:row>
    <x:row r="4" ht="38" customHeight="1">
      <x:c r="A4" s="1" t="s">
        <x:v>23</x:v>
      </x:c>
      <x:c r="B4" s="2" t="s">
        <x:v>24</x:v>
      </x:c>
      <x:c r="C4" s="2" t="s">
        <x:v>25</x:v>
      </x:c>
      <x:c r="D4" s="3" t="s">
        <x:v>26</x:v>
      </x:c>
    </x:row>
    <x:row r="5" ht="264.5" customHeight="1">
      <x:c r="A5" s="4" t="s">
        <x:v>27</x:v>
      </x:c>
      <x:c r="B5" s="5" t="s">
        <x:v>28</x:v>
      </x:c>
      <x:c r="C5" s="5">
        <x:v>18</x:v>
      </x:c>
      <x:c r="D5" s="14" t="s">
        <x:v>29</x:v>
      </x:c>
    </x:row>
    <x:row r="6" ht="264.5" customHeight="1">
      <x:c r="A6" s="4" t="s">
        <x:v>30</x:v>
      </x:c>
      <x:c r="B6" s="5" t="s">
        <x:v>31</x:v>
      </x:c>
      <x:c r="C6" s="5">
        <x:v>10</x:v>
      </x:c>
      <x:c r="D6" s="14" t="s">
        <x:v>32</x:v>
      </x:c>
    </x:row>
    <x:row r="7" ht="264.5" customHeight="1">
      <x:c r="A7" s="4" t="s">
        <x:v>33</x:v>
      </x:c>
      <x:c r="B7" s="5" t="s">
        <x:v>34</x:v>
      </x:c>
      <x:c r="C7" s="5">
        <x:v>8</x:v>
      </x:c>
      <x:c r="D7" s="14" t="s">
        <x:v>35</x:v>
      </x:c>
    </x:row>
    <x:row r="8" ht="264.5" customHeight="1">
      <x:c r="A8" s="4" t="s">
        <x:v>36</x:v>
      </x:c>
      <x:c r="B8" s="5" t="s">
        <x:v>37</x:v>
      </x:c>
      <x:c r="C8" s="5">
        <x:v>10</x:v>
      </x:c>
      <x:c r="D8" s="14" t="s">
        <x:v>38</x:v>
      </x:c>
    </x:row>
    <x:row r="9" ht="264.5" customHeight="1">
      <x:c r="A9" s="4" t="s">
        <x:v>39</x:v>
      </x:c>
      <x:c r="B9" s="5" t="s">
        <x:v>40</x:v>
      </x:c>
      <x:c r="C9" s="5">
        <x:v>8</x:v>
      </x:c>
      <x:c r="D9" s="14" t="s">
        <x:v>41</x:v>
      </x:c>
    </x:row>
    <x:row r="10" ht="264.5" customHeight="1">
      <x:c r="A10" s="4" t="s">
        <x:v>42</x:v>
      </x:c>
      <x:c r="B10" s="5" t="s">
        <x:v>43</x:v>
      </x:c>
      <x:c r="C10" s="5">
        <x:v>11</x:v>
      </x:c>
      <x:c r="D10" s="14" t="s">
        <x:v>44</x:v>
      </x:c>
    </x:row>
    <x:row r="11" ht="264.5" customHeight="1">
      <x:c r="A11" s="4" t="s">
        <x:v>45</x:v>
      </x:c>
      <x:c r="B11" s="5" t="s">
        <x:v>46</x:v>
      </x:c>
      <x:c r="C11" s="5">
        <x:v>5</x:v>
      </x:c>
      <x:c r="D11" s="14" t="s">
        <x:v>47</x:v>
      </x:c>
    </x:row>
    <x:row r="12" ht="264.5" customHeight="1">
      <x:c r="A12" s="4" t="s">
        <x:v>48</x:v>
      </x:c>
      <x:c r="B12" s="5" t="s">
        <x:v>49</x:v>
      </x:c>
      <x:c r="C12" s="5">
        <x:v>9</x:v>
      </x:c>
      <x:c r="D12" s="14" t="s">
        <x:v>50</x:v>
      </x:c>
    </x:row>
    <x:row r="13" ht="264.5" customHeight="1">
      <x:c r="A13" s="4" t="s">
        <x:v>51</x:v>
      </x:c>
      <x:c r="B13" s="5" t="s">
        <x:v>52</x:v>
      </x:c>
      <x:c r="C13" s="5">
        <x:v>8</x:v>
      </x:c>
      <x:c r="D13" s="14" t="s">
        <x:v>53</x:v>
      </x:c>
    </x:row>
    <x:row r="14" ht="264.5" customHeight="1">
      <x:c r="A14" s="4" t="s">
        <x:v>54</x:v>
      </x:c>
      <x:c r="B14" s="5" t="s">
        <x:v>55</x:v>
      </x:c>
      <x:c r="C14" s="5">
        <x:v>7</x:v>
      </x:c>
      <x:c r="D14" s="14" t="s">
        <x:v>56</x:v>
      </x:c>
    </x:row>
    <x:row r="15" ht="264.5" customHeight="1">
      <x:c r="A15" s="4" t="s">
        <x:v>57</x:v>
      </x:c>
      <x:c r="B15" s="5" t="s">
        <x:v>58</x:v>
      </x:c>
      <x:c r="C15" s="5">
        <x:v>8</x:v>
      </x:c>
      <x:c r="D15" s="14" t="s">
        <x:v>59</x:v>
      </x:c>
    </x:row>
    <x:row r="16" ht="264.5" customHeight="1">
      <x:c r="A16" s="4" t="s">
        <x:v>60</x:v>
      </x:c>
      <x:c r="B16" s="5" t="s">
        <x:v>61</x:v>
      </x:c>
      <x:c r="C16" s="5">
        <x:v>10</x:v>
      </x:c>
      <x:c r="D16" s="14" t="s">
        <x:v>62</x:v>
      </x:c>
    </x:row>
    <x:row r="17" ht="264.5" customHeight="1">
      <x:c r="A17" s="4" t="s">
        <x:v>63</x:v>
      </x:c>
      <x:c r="B17" s="5" t="s">
        <x:v>64</x:v>
      </x:c>
      <x:c r="C17" s="5">
        <x:v>9</x:v>
      </x:c>
      <x:c r="D17" s="14" t="s">
        <x:v>65</x:v>
      </x:c>
    </x:row>
    <x:row r="18" ht="264.5" customHeight="1">
      <x:c r="A18" s="4" t="s">
        <x:v>66</x:v>
      </x:c>
      <x:c r="B18" s="5" t="s">
        <x:v>67</x:v>
      </x:c>
      <x:c r="C18" s="5">
        <x:v>20</x:v>
      </x:c>
      <x:c r="D18" s="14" t="s">
        <x:v>68</x:v>
      </x:c>
    </x:row>
    <x:row r="19" ht="264.5" customHeight="1">
      <x:c r="A19" s="4" t="s">
        <x:v>69</x:v>
      </x:c>
      <x:c r="B19" s="5" t="s">
        <x:v>70</x:v>
      </x:c>
      <x:c r="C19" s="5">
        <x:v>18</x:v>
      </x:c>
      <x:c r="D19" s="14" t="s">
        <x:v>71</x:v>
      </x:c>
    </x:row>
    <x:row r="20" ht="264.5" customHeight="1">
      <x:c r="A20" s="4" t="s">
        <x:v>72</x:v>
      </x:c>
      <x:c r="B20" s="5" t="s">
        <x:v>73</x:v>
      </x:c>
      <x:c r="C20" s="5">
        <x:v>17</x:v>
      </x:c>
      <x:c r="D20" s="14" t="s">
        <x:v>74</x:v>
      </x:c>
    </x:row>
    <x:row r="21" ht="264.5" customHeight="1">
      <x:c r="A21" s="4" t="s">
        <x:v>75</x:v>
      </x:c>
      <x:c r="B21" s="5" t="s">
        <x:v>76</x:v>
      </x:c>
      <x:c r="C21" s="5">
        <x:v>8</x:v>
      </x:c>
      <x:c r="D21" s="14" t="s">
        <x:v>77</x:v>
      </x:c>
    </x:row>
    <x:row r="22" ht="264.5" customHeight="1">
      <x:c r="A22" s="4" t="s">
        <x:v>78</x:v>
      </x:c>
      <x:c r="B22" s="5" t="s">
        <x:v>79</x:v>
      </x:c>
      <x:c r="C22" s="5">
        <x:v>8</x:v>
      </x:c>
      <x:c r="D22" s="14" t="s">
        <x:v>80</x:v>
      </x:c>
    </x:row>
    <x:row r="23" ht="264.5" customHeight="1">
      <x:c r="A23" s="4" t="s">
        <x:v>81</x:v>
      </x:c>
      <x:c r="B23" s="5" t="s">
        <x:v>82</x:v>
      </x:c>
      <x:c r="C23" s="5">
        <x:v>8</x:v>
      </x:c>
      <x:c r="D23" s="14" t="s">
        <x:v>83</x:v>
      </x:c>
    </x:row>
    <x:row r="24" ht="264.5" customHeight="1">
      <x:c r="A24" s="4" t="s">
        <x:v>84</x:v>
      </x:c>
      <x:c r="B24" s="5" t="s">
        <x:v>85</x:v>
      </x:c>
      <x:c r="C24" s="5">
        <x:v>12</x:v>
      </x:c>
      <x:c r="D24" s="14" t="s">
        <x:v>86</x:v>
      </x:c>
    </x:row>
    <x:row r="25" ht="264.5" customHeight="1">
      <x:c r="A25" s="4" t="s">
        <x:v>87</x:v>
      </x:c>
      <x:c r="B25" s="5" t="s">
        <x:v>88</x:v>
      </x:c>
      <x:c r="C25" s="5">
        <x:v>9</x:v>
      </x:c>
      <x:c r="D25" s="14" t="s">
        <x:v>89</x:v>
      </x:c>
    </x:row>
    <x:row r="26" ht="264.5" customHeight="1">
      <x:c r="A26" s="4" t="s">
        <x:v>90</x:v>
      </x:c>
      <x:c r="B26" s="5" t="s">
        <x:v>91</x:v>
      </x:c>
      <x:c r="C26" s="5">
        <x:v>7</x:v>
      </x:c>
      <x:c r="D26" s="14" t="s">
        <x:v>92</x:v>
      </x:c>
    </x:row>
    <x:row r="27" ht="264.5" customHeight="1">
      <x:c r="A27" s="4" t="s">
        <x:v>93</x:v>
      </x:c>
      <x:c r="B27" s="5" t="s">
        <x:v>94</x:v>
      </x:c>
      <x:c r="C27" s="5">
        <x:v>15</x:v>
      </x:c>
      <x:c r="D27" s="14" t="s">
        <x:v>95</x:v>
      </x:c>
    </x:row>
    <x:row r="28" ht="264.5" customHeight="1">
      <x:c r="A28" s="4" t="s">
        <x:v>96</x:v>
      </x:c>
      <x:c r="B28" s="5" t="s">
        <x:v>97</x:v>
      </x:c>
      <x:c r="C28" s="5">
        <x:v>22</x:v>
      </x:c>
      <x:c r="D28" s="14" t="s">
        <x:v>98</x:v>
      </x:c>
    </x:row>
    <x:row r="29" ht="264.5" customHeight="1">
      <x:c r="A29" s="4" t="s">
        <x:v>99</x:v>
      </x:c>
      <x:c r="B29" s="5" t="s">
        <x:v>100</x:v>
      </x:c>
      <x:c r="C29" s="5">
        <x:v>7</x:v>
      </x:c>
      <x:c r="D29" s="14" t="s">
        <x:v>101</x:v>
      </x:c>
    </x:row>
    <x:row r="30" ht="264.5" customHeight="1">
      <x:c r="A30" s="9" t="s">
        <x:v>102</x:v>
      </x:c>
      <x:c r="B30" s="10" t="s">
        <x:v>103</x:v>
      </x:c>
      <x:c r="C30" s="10">
        <x:v>7</x:v>
      </x:c>
      <x:c r="D30" s="15" t="s">
        <x:v>104</x:v>
      </x:c>
    </x:row>
  </x:sheetData>
  <x:mergeCells>
    <x:mergeCell ref="A1:D1"/>
    <x:mergeCell ref="A2:D2"/>
  </x:mergeCells>
  <x:pageMargins left="0.7" right="0.7" top="0.75" bottom="0.75" header="0.3" footer="0.3"/>
  <x:tableParts count="1">
    <x:tablePart xmlns:r="http://schemas.openxmlformats.org/officeDocument/2006/relationships" r:id="R9a8ae5d44b584bbb"/>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105</x:v>
      </x:c>
      <x:c r="B1" s="53"/>
      <x:c r="C1" s="53"/>
      <x:c r="D1" s="53"/>
      <x:c r="E1" s="53"/>
      <x:c r="F1" s="53"/>
      <x:c r="G1" s="53"/>
      <x:c r="H1" s="53"/>
    </x:row>
    <x:row r="2" ht="24" customHeight="1">
      <x:c r="A2" s="54" t="s">
        <x:v>106</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107</x:v>
      </x:c>
      <x:c r="B4" s="16" t="s">
        <x:v>24</x:v>
      </x:c>
      <x:c r="C4" s="16" t="s">
        <x:v>108</x:v>
      </x:c>
      <x:c r="D4" s="16" t="s">
        <x:v>109</x:v>
      </x:c>
      <x:c r="E4" s="16" t="s">
        <x:v>110</x:v>
      </x:c>
      <x:c r="F4" s="16" t="s">
        <x:v>111</x:v>
      </x:c>
      <x:c r="G4" s="16" t="s">
        <x:v>112</x:v>
      </x:c>
      <x:c r="H4" s="16" t="s">
        <x:v>113</x:v>
      </x:c>
    </x:row>
    <x:row r="5" ht="72" customHeight="1">
      <x:c r="A5" s="5" t="s">
        <x:v>114</x:v>
      </x:c>
      <x:c r="B5" s="5" t="s">
        <x:v>115</x:v>
      </x:c>
      <x:c r="C5" s="5" t="s">
        <x:v>116</x:v>
      </x:c>
      <x:c r="D5" s="5" t="s">
        <x:v>117</x:v>
      </x:c>
      <x:c r="E5" s="5"/>
      <x:c r="F5" s="5">
        <x:v>200</x:v>
      </x:c>
      <x:c r="G5" s="5" t="s">
        <x:v>118</x:v>
      </x:c>
      <x:c r="H5" s="5" t="s">
        <x:v>119</x:v>
      </x:c>
    </x:row>
    <x:row r="6" ht="72" customHeight="1">
      <x:c r="A6" s="5" t="s">
        <x:v>120</x:v>
      </x:c>
      <x:c r="B6" s="5" t="s">
        <x:v>121</x:v>
      </x:c>
      <x:c r="C6" s="5" t="s">
        <x:v>116</x:v>
      </x:c>
      <x:c r="D6" s="5" t="s">
        <x:v>122</x:v>
      </x:c>
      <x:c r="E6" s="5"/>
      <x:c r="F6" s="5">
        <x:v>405</x:v>
      </x:c>
      <x:c r="G6" s="5" t="s">
        <x:v>123</x:v>
      </x:c>
      <x:c r="H6" s="5" t="s">
        <x:v>124</x:v>
      </x:c>
    </x:row>
    <x:row r="7" ht="72" customHeight="1">
      <x:c r="A7" s="5" t="s">
        <x:v>125</x:v>
      </x:c>
      <x:c r="B7" s="5" t="s">
        <x:v>126</x:v>
      </x:c>
      <x:c r="C7" s="5" t="s">
        <x:v>127</x:v>
      </x:c>
      <x:c r="D7" s="5" t="s">
        <x:v>117</x:v>
      </x:c>
      <x:c r="E7" s="5"/>
      <x:c r="F7" s="5">
        <x:v>200</x:v>
      </x:c>
      <x:c r="G7" s="5" t="s">
        <x:v>118</x:v>
      </x:c>
      <x:c r="H7" s="5" t="s">
        <x:v>128</x:v>
      </x:c>
    </x:row>
    <x:row r="8" ht="72" customHeight="1">
      <x:c r="A8" s="5" t="s">
        <x:v>129</x:v>
      </x:c>
      <x:c r="B8" s="5" t="s">
        <x:v>130</x:v>
      </x:c>
      <x:c r="C8" s="5" t="s">
        <x:v>127</x:v>
      </x:c>
      <x:c r="D8" s="5" t="s">
        <x:v>131</x:v>
      </x:c>
      <x:c r="E8" s="5"/>
      <x:c r="F8" s="5">
        <x:v>405</x:v>
      </x:c>
      <x:c r="G8" s="5" t="s">
        <x:v>123</x:v>
      </x:c>
      <x:c r="H8" s="5" t="s">
        <x:v>124</x:v>
      </x:c>
    </x:row>
    <x:row r="9" ht="72" customHeight="1">
      <x:c r="A9" s="5" t="s">
        <x:v>132</x:v>
      </x:c>
      <x:c r="B9" s="5" t="s">
        <x:v>133</x:v>
      </x:c>
      <x:c r="C9" s="5" t="s">
        <x:v>134</x:v>
      </x:c>
      <x:c r="D9" s="5" t="s">
        <x:v>122</x:v>
      </x:c>
      <x:c r="E9" s="5" t="s">
        <x:v>135</x:v>
      </x:c>
      <x:c r="F9" s="5">
        <x:v>200</x:v>
      </x:c>
      <x:c r="G9" s="5" t="s">
        <x:v>118</x:v>
      </x:c>
      <x:c r="H9" s="5" t="s">
        <x:v>136</x:v>
      </x:c>
    </x:row>
    <x:row r="10" ht="72" customHeight="1">
      <x:c r="A10" s="5" t="s">
        <x:v>137</x:v>
      </x:c>
      <x:c r="B10" s="5" t="s">
        <x:v>138</x:v>
      </x:c>
      <x:c r="C10" s="5" t="s">
        <x:v>134</x:v>
      </x:c>
      <x:c r="D10" s="5" t="s">
        <x:v>122</x:v>
      </x:c>
      <x:c r="E10" s="5"/>
      <x:c r="F10" s="5">
        <x:v>400</x:v>
      </x:c>
      <x:c r="G10" s="5" t="s">
        <x:v>123</x:v>
      </x:c>
      <x:c r="H10" s="5" t="s">
        <x:v>139</x:v>
      </x:c>
    </x:row>
    <x:row r="11" ht="72" customHeight="1">
      <x:c r="A11" s="5" t="s">
        <x:v>140</x:v>
      </x:c>
      <x:c r="B11" s="5" t="s">
        <x:v>141</x:v>
      </x:c>
      <x:c r="C11" s="5" t="s">
        <x:v>142</x:v>
      </x:c>
      <x:c r="D11" s="5" t="s">
        <x:v>122</x:v>
      </x:c>
      <x:c r="E11" s="5" t="s">
        <x:v>143</x:v>
      </x:c>
      <x:c r="F11" s="5">
        <x:v>200</x:v>
      </x:c>
      <x:c r="G11" s="5" t="s">
        <x:v>123</x:v>
      </x:c>
      <x:c r="H11" s="5" t="s">
        <x:v>144</x:v>
      </x:c>
    </x:row>
    <x:row r="12" ht="72" customHeight="1">
      <x:c r="A12" s="5" t="s">
        <x:v>145</x:v>
      </x:c>
      <x:c r="B12" s="5" t="s">
        <x:v>146</x:v>
      </x:c>
      <x:c r="C12" s="5" t="s">
        <x:v>142</x:v>
      </x:c>
      <x:c r="D12" s="5" t="s">
        <x:v>122</x:v>
      </x:c>
      <x:c r="E12" s="5" t="s">
        <x:v>147</x:v>
      </x:c>
      <x:c r="F12" s="5">
        <x:v>400</x:v>
      </x:c>
      <x:c r="G12" s="5" t="s">
        <x:v>123</x:v>
      </x:c>
      <x:c r="H12" s="5" t="s">
        <x:v>148</x:v>
      </x:c>
    </x:row>
    <x:row r="13" ht="72" customHeight="1">
      <x:c r="A13" s="5" t="s">
        <x:v>149</x:v>
      </x:c>
      <x:c r="B13" s="5" t="s">
        <x:v>150</x:v>
      </x:c>
      <x:c r="C13" s="5" t="s">
        <x:v>142</x:v>
      </x:c>
      <x:c r="D13" s="5" t="s">
        <x:v>151</x:v>
      </x:c>
      <x:c r="E13" s="5"/>
      <x:c r="F13" s="5">
        <x:v>405</x:v>
      </x:c>
      <x:c r="G13" s="5" t="s">
        <x:v>123</x:v>
      </x:c>
      <x:c r="H13" s="5" t="s">
        <x:v>124</x:v>
      </x:c>
    </x:row>
    <x:row r="14" ht="72" customHeight="1">
      <x:c r="A14" s="5" t="s">
        <x:v>152</x:v>
      </x:c>
      <x:c r="B14" s="5" t="s">
        <x:v>153</x:v>
      </x:c>
      <x:c r="C14" s="5" t="s">
        <x:v>142</x:v>
      </x:c>
      <x:c r="D14" s="5" t="s">
        <x:v>122</x:v>
      </x:c>
      <x:c r="E14" s="5" t="s">
        <x:v>154</x:v>
      </x:c>
      <x:c r="F14" s="5">
        <x:v>404</x:v>
      </x:c>
      <x:c r="G14" s="5" t="s">
        <x:v>123</x:v>
      </x:c>
      <x:c r="H14" s="5" t="s">
        <x:v>155</x:v>
      </x:c>
    </x:row>
    <x:row r="15" ht="72" customHeight="1">
      <x:c r="A15" s="5" t="s">
        <x:v>156</x:v>
      </x:c>
      <x:c r="B15" s="5" t="s">
        <x:v>157</x:v>
      </x:c>
      <x:c r="C15" s="5" t="s">
        <x:v>158</x:v>
      </x:c>
      <x:c r="D15" s="5" t="s">
        <x:v>122</x:v>
      </x:c>
      <x:c r="E15" s="5" t="s">
        <x:v>159</x:v>
      </x:c>
      <x:c r="F15" s="5">
        <x:v>201</x:v>
      </x:c>
      <x:c r="G15" s="5" t="s">
        <x:v>123</x:v>
      </x:c>
      <x:c r="H15" s="5" t="s">
        <x:v>160</x:v>
      </x:c>
    </x:row>
    <x:row r="16" ht="72" customHeight="1">
      <x:c r="A16" s="5" t="s">
        <x:v>161</x:v>
      </x:c>
      <x:c r="B16" s="5" t="s">
        <x:v>162</x:v>
      </x:c>
      <x:c r="C16" s="5" t="s">
        <x:v>163</x:v>
      </x:c>
      <x:c r="D16" s="5" t="s">
        <x:v>151</x:v>
      </x:c>
      <x:c r="E16" s="5" t="s">
        <x:v>143</x:v>
      </x:c>
      <x:c r="F16" s="5">
        <x:v>200</x:v>
      </x:c>
      <x:c r="G16" s="5" t="s">
        <x:v>123</x:v>
      </x:c>
      <x:c r="H16" s="5" t="s">
        <x:v>164</x:v>
      </x:c>
    </x:row>
    <x:row r="17" ht="72" customHeight="1">
      <x:c r="A17" s="5" t="s">
        <x:v>165</x:v>
      </x:c>
      <x:c r="B17" s="5" t="s">
        <x:v>166</x:v>
      </x:c>
      <x:c r="C17" s="5" t="s">
        <x:v>167</x:v>
      </x:c>
      <x:c r="D17" s="5" t="s">
        <x:v>131</x:v>
      </x:c>
      <x:c r="E17" s="5" t="s">
        <x:v>159</x:v>
      </x:c>
      <x:c r="F17" s="5">
        <x:v>200</x:v>
      </x:c>
      <x:c r="G17" s="5" t="s">
        <x:v>123</x:v>
      </x:c>
      <x:c r="H17" s="5" t="s">
        <x:v>168</x:v>
      </x:c>
      <x:c r="J17" t="s">
        <x:v>169</x:v>
      </x:c>
    </x:row>
    <x:row r="18" ht="72" customHeight="1">
      <x:c r="A18" s="5" t="s">
        <x:v>170</x:v>
      </x:c>
      <x:c r="B18" s="5" t="s">
        <x:v>171</x:v>
      </x:c>
      <x:c r="C18" s="5" t="s">
        <x:v>172</x:v>
      </x:c>
      <x:c r="D18" s="5" t="s">
        <x:v>117</x:v>
      </x:c>
      <x:c r="E18" s="5" t="s">
        <x:v>173</x:v>
      </x:c>
      <x:c r="F18" s="5">
        <x:v>200</x:v>
      </x:c>
      <x:c r="G18" s="5" t="s">
        <x:v>118</x:v>
      </x:c>
      <x:c r="H18" s="5" t="s">
        <x:v>174</x:v>
      </x:c>
    </x:row>
  </x:sheetData>
  <x:mergeCells>
    <x:mergeCell ref="A1:H1"/>
    <x:mergeCell ref="A2:H2"/>
  </x:mergeCells>
  <x:pageMargins left="0.7" right="0.7" top="0.75" bottom="0.75" header="0.3" footer="0.3"/>
  <x:tableParts count="1">
    <x:tablePart xmlns:r="http://schemas.openxmlformats.org/officeDocument/2006/relationships" r:id="R72e6afe27f5a418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630000114440918" hidden="0" customWidth="1"/>
    <x:col min="2" max="2" width="11.880000114440918" hidden="0" customWidth="1"/>
    <x:col min="3" max="3" width="41.25" hidden="0" customWidth="1"/>
    <x:col min="4" max="4" width="16.25" hidden="0" customWidth="1"/>
    <x:col min="5" max="5" width="9.380000114440918" hidden="0" customWidth="1"/>
    <x:col min="6" max="6" width="13.75" hidden="0" customWidth="1"/>
    <x:col min="7" max="7" width="15.630000114440918" hidden="0" customWidth="1"/>
    <x:col min="8" max="8" width="15.630000114440918" hidden="0" customWidth="1"/>
    <x:col min="9" max="9" width="13.130000114440918" hidden="0" customWidth="1"/>
    <x:col min="10" max="10" width="13.75" hidden="0" customWidth="1"/>
    <x:col min="11" max="11" width="15" hidden="0" customWidth="1"/>
    <x:col min="12" max="12" width="15.630000114440918" hidden="0" customWidth="1"/>
    <x:col min="13" max="13" width="11.25" hidden="0" customWidth="1"/>
    <x:col min="14" max="14" width="16.25" hidden="0" customWidth="1"/>
  </x:cols>
  <x:sheetData>
    <x:row r="1" ht="25.5" customHeight="1">
      <x:c r="A1" s="129" t="str">
        <x:v>AEQA Jira Traceability Snapshot</x:v>
      </x:c>
      <x:c r="B1" s="129"/>
      <x:c r="C1" s="129"/>
      <x:c r="D1" s="129"/>
      <x:c r="E1" s="129"/>
      <x:c r="F1" s="129"/>
      <x:c r="G1" s="129"/>
      <x:c r="H1" s="129"/>
      <x:c r="I1" s="129"/>
      <x:c r="J1" s="129"/>
      <x:c r="K1" s="129"/>
      <x:c r="L1" s="129"/>
      <x:c r="M1" s="129"/>
      <x:c r="N1" s="129"/>
    </x:row>
    <x:row r="2" ht="25.5" customHeight="1">
      <x:c r="A2" s="134" t="str">
        <x:v>Source: Jira Cloud AEQA reconciliation through 2026-08-12. Re-export Jira before each formal RTM reconciliation.</x:v>
      </x:c>
      <x:c r="B2" s="134"/>
      <x:c r="C2" s="134"/>
      <x:c r="D2" s="134"/>
      <x:c r="E2" s="134"/>
      <x:c r="F2" s="134"/>
      <x:c r="G2" s="134"/>
      <x:c r="H2" s="134"/>
      <x:c r="I2" s="134"/>
      <x:c r="J2" s="134"/>
      <x:c r="K2" s="134"/>
      <x:c r="L2" s="134"/>
      <x:c r="M2" s="134"/>
      <x:c r="N2" s="134"/>
    </x:row>
    <x:row r="4" ht="25.5" customHeight="1">
      <x:c r="A4" s="139" t="str">
        <x:v>Jira Key</x:v>
      </x:c>
      <x:c r="B4" s="139" t="str">
        <x:v>Work Type</x:v>
      </x:c>
      <x:c r="C4" s="139" t="str">
        <x:v>Summary</x:v>
      </x:c>
      <x:c r="D4" s="139" t="str">
        <x:v>Workflow Status</x:v>
      </x:c>
      <x:c r="E4" s="139" t="str">
        <x:v>Priority</x:v>
      </x:c>
      <x:c r="F4" s="139" t="str">
        <x:v>Assignee</x:v>
      </x:c>
      <x:c r="G4" s="139" t="str">
        <x:v>Requirement ID</x:v>
      </x:c>
      <x:c r="H4" s="139" t="str">
        <x:v>Test Case ID</x:v>
      </x:c>
      <x:c r="I4" s="139" t="str">
        <x:v>Defect ID</x:v>
      </x:c>
      <x:c r="J4" s="139" t="str">
        <x:v>Execution Status</x:v>
      </x:c>
      <x:c r="K4" s="139" t="str">
        <x:v>Automation Status</x:v>
      </x:c>
      <x:c r="L4" s="139" t="str">
        <x:v>Testing Link(s)</x:v>
      </x:c>
      <x:c r="M4" s="139" t="str">
        <x:v>Parent Key</x:v>
      </x:c>
      <x:c r="N4" s="139" t="str">
        <x:v>Jira Updated</x:v>
      </x:c>
    </x:row>
    <x:row r="5" ht="31.5" customHeight="1">
      <x:c r="A5" s="76" t="str">
        <x:v>AEQA-1</x:v>
      </x:c>
      <x:c r="B5" s="76" t="str">
        <x:v>Requirement</x:v>
      </x:c>
      <x:c r="C5" s="76" t="str">
        <x:v>REQ-AUTH-001 - Register User</x:v>
      </x:c>
      <x:c r="D5" s="76" t="str">
        <x:v>Done</x:v>
      </x:c>
      <x:c r="E5" s="76" t="str">
        <x:v>Highest</x:v>
      </x:c>
      <x:c r="F5" s="76" t="str"/>
      <x:c r="G5" s="76" t="str">
        <x:v>REQ-AUTH-001</x:v>
      </x:c>
      <x:c r="H5" s="76" t="str"/>
      <x:c r="I5" s="76" t="str"/>
      <x:c r="J5" s="76" t="str"/>
      <x:c r="K5" s="76" t="str"/>
      <x:c r="L5" s="76" t="str">
        <x:v>AEQA-45
AEQA-46
AEQA-53
AEQA-106</x:v>
      </x:c>
      <x:c r="M5" s="76" t="str"/>
      <x:c r="N5" s="76" t="str">
        <x:v>10/Aug/26 8:58 PM</x:v>
      </x:c>
    </x:row>
    <x:row r="6" ht="31.5" customHeight="1">
      <x:c r="A6" s="76" t="str">
        <x:v>AEQA-2</x:v>
      </x:c>
      <x:c r="B6" s="76" t="str">
        <x:v>Requirement</x:v>
      </x:c>
      <x:c r="C6" s="76" t="str">
        <x:v>REQ-AUTH-002 - Login User with correct email and password</x:v>
      </x:c>
      <x:c r="D6" s="76" t="str">
        <x:v>Done</x:v>
      </x:c>
      <x:c r="E6" s="76" t="str">
        <x:v>Highest</x:v>
      </x:c>
      <x:c r="F6" s="76" t="str"/>
      <x:c r="G6" s="76" t="str">
        <x:v>REQ-AUTH-002</x:v>
      </x:c>
      <x:c r="H6" s="76" t="str"/>
      <x:c r="I6" s="76" t="str"/>
      <x:c r="J6" s="76" t="str"/>
      <x:c r="K6" s="76" t="str"/>
      <x:c r="L6" s="76" t="str">
        <x:v>AEQA-49
AEQA-53</x:v>
      </x:c>
      <x:c r="M6" s="76" t="str"/>
      <x:c r="N6" s="76" t="str">
        <x:v>10/Aug/26 8:02 PM</x:v>
      </x:c>
    </x:row>
    <x:row r="7" ht="31.5" customHeight="1">
      <x:c r="A7" s="76" t="str">
        <x:v>AEQA-3</x:v>
      </x:c>
      <x:c r="B7" s="76" t="str">
        <x:v>Requirement</x:v>
      </x:c>
      <x:c r="C7" s="76" t="str">
        <x:v>REQ-AUTH-003 - Login User with incorrect email and password</x:v>
      </x:c>
      <x:c r="D7" s="76" t="str">
        <x:v>Done</x:v>
      </x:c>
      <x:c r="E7" s="76" t="str">
        <x:v>High</x:v>
      </x:c>
      <x:c r="F7" s="76" t="str"/>
      <x:c r="G7" s="76" t="str">
        <x:v>REQ-AUTH-003</x:v>
      </x:c>
      <x:c r="H7" s="76" t="str"/>
      <x:c r="I7" s="76" t="str"/>
      <x:c r="J7" s="76" t="str"/>
      <x:c r="K7" s="76" t="str"/>
      <x:c r="L7" s="76" t="str">
        <x:v>AEQA-51
AEQA-56</x:v>
      </x:c>
      <x:c r="M7" s="76" t="str"/>
      <x:c r="N7" s="76" t="str">
        <x:v>10/Aug/26 8:02 PM</x:v>
      </x:c>
    </x:row>
    <x:row r="8" ht="31.5" customHeight="1">
      <x:c r="A8" s="76" t="str">
        <x:v>AEQA-4</x:v>
      </x:c>
      <x:c r="B8" s="76" t="str">
        <x:v>Requirement</x:v>
      </x:c>
      <x:c r="C8" s="76" t="str">
        <x:v>REQ-AUTH-004 - Logout User</x:v>
      </x:c>
      <x:c r="D8" s="76" t="str">
        <x:v>Selected for Development</x:v>
      </x:c>
      <x:c r="E8" s="76" t="str">
        <x:v>High</x:v>
      </x:c>
      <x:c r="F8" s="76" t="str"/>
      <x:c r="G8" s="76" t="str">
        <x:v>REQ-AUTH-004</x:v>
      </x:c>
      <x:c r="H8" s="76" t="str"/>
      <x:c r="I8" s="76" t="str"/>
      <x:c r="J8" s="76" t="str"/>
      <x:c r="K8" s="76" t="str"/>
      <x:c r="L8" s="76" t="str">
        <x:v>AEQA-52</x:v>
      </x:c>
      <x:c r="M8" s="76" t="str"/>
      <x:c r="N8" s="76" t="str">
        <x:v>11/Aug/26 7:35 AM</x:v>
      </x:c>
    </x:row>
    <x:row r="9" ht="31.5" customHeight="1">
      <x:c r="A9" s="76" t="str">
        <x:v>AEQA-5</x:v>
      </x:c>
      <x:c r="B9" s="76" t="str">
        <x:v>Requirement</x:v>
      </x:c>
      <x:c r="C9" s="76" t="str">
        <x:v>REQ-AUTH-005 - Register User with existing email</x:v>
      </x:c>
      <x:c r="D9" s="76" t="str">
        <x:v>Done</x:v>
      </x:c>
      <x:c r="E9" s="76" t="str">
        <x:v>High</x:v>
      </x:c>
      <x:c r="F9" s="76" t="str"/>
      <x:c r="G9" s="76" t="str">
        <x:v>REQ-AUTH-005</x:v>
      </x:c>
      <x:c r="H9" s="76" t="str"/>
      <x:c r="I9" s="76" t="str"/>
      <x:c r="J9" s="76" t="str"/>
      <x:c r="K9" s="76" t="str"/>
      <x:c r="L9" s="76" t="str">
        <x:v>AEQA-55</x:v>
      </x:c>
      <x:c r="M9" s="76" t="str"/>
      <x:c r="N9" s="76" t="str">
        <x:v>10/Aug/26 8:02 PM</x:v>
      </x:c>
    </x:row>
    <x:row r="10" ht="31.5" customHeight="1">
      <x:c r="A10" s="76" t="str">
        <x:v>AEQA-6</x:v>
      </x:c>
      <x:c r="B10" s="76" t="str">
        <x:v>Requirement</x:v>
      </x:c>
      <x:c r="C10" s="76" t="str">
        <x:v>REQ-CONTACT-001 - Contact Us Form</x:v>
      </x:c>
      <x:c r="D10" s="76" t="str">
        <x:v>Done</x:v>
      </x:c>
      <x:c r="E10" s="76" t="str">
        <x:v>Medium</x:v>
      </x:c>
      <x:c r="F10" s="76" t="str"/>
      <x:c r="G10" s="76" t="str">
        <x:v>REQ-CONTACT-001</x:v>
      </x:c>
      <x:c r="H10" s="76" t="str"/>
      <x:c r="I10" s="76" t="str"/>
      <x:c r="J10" s="76" t="str"/>
      <x:c r="K10" s="76" t="str"/>
      <x:c r="L10" s="76" t="str">
        <x:v>AEQA-62</x:v>
      </x:c>
      <x:c r="M10" s="76" t="str"/>
      <x:c r="N10" s="76" t="str">
        <x:v>10/Aug/26 8:02 PM</x:v>
      </x:c>
    </x:row>
    <x:row r="11" ht="31.5" customHeight="1">
      <x:c r="A11" s="76" t="str">
        <x:v>AEQA-7</x:v>
      </x:c>
      <x:c r="B11" s="76" t="str">
        <x:v>Requirement</x:v>
      </x:c>
      <x:c r="C11" s="76" t="str">
        <x:v>REQ-NAV-001 - Verify Test Cases Page</x:v>
      </x:c>
      <x:c r="D11" s="76" t="str">
        <x:v>Done</x:v>
      </x:c>
      <x:c r="E11" s="76" t="str">
        <x:v>Low</x:v>
      </x:c>
      <x:c r="F11" s="76" t="str"/>
      <x:c r="G11" s="76" t="str">
        <x:v>REQ-NAV-001</x:v>
      </x:c>
      <x:c r="H11" s="76" t="str"/>
      <x:c r="I11" s="76" t="str"/>
      <x:c r="J11" s="76" t="str"/>
      <x:c r="K11" s="76" t="str"/>
      <x:c r="L11" s="76" t="str">
        <x:v>AEQA-63</x:v>
      </x:c>
      <x:c r="M11" s="76" t="str"/>
      <x:c r="N11" s="76" t="str">
        <x:v>10/Aug/26 8:02 PM</x:v>
      </x:c>
    </x:row>
    <x:row r="12" ht="31.5" customHeight="1">
      <x:c r="A12" s="76" t="str">
        <x:v>AEQA-8</x:v>
      </x:c>
      <x:c r="B12" s="76" t="str">
        <x:v>Requirement</x:v>
      </x:c>
      <x:c r="C12" s="76" t="str">
        <x:v>REQ-PRODUCT-001 - Verify All Products and product detail page</x:v>
      </x:c>
      <x:c r="D12" s="76" t="str">
        <x:v>Done</x:v>
      </x:c>
      <x:c r="E12" s="76" t="str">
        <x:v>High</x:v>
      </x:c>
      <x:c r="F12" s="76" t="str"/>
      <x:c r="G12" s="76" t="str">
        <x:v>REQ-PRODUCT-001</x:v>
      </x:c>
      <x:c r="H12" s="76" t="str"/>
      <x:c r="I12" s="76" t="str"/>
      <x:c r="J12" s="76" t="str"/>
      <x:c r="K12" s="76" t="str"/>
      <x:c r="L12" s="76" t="str">
        <x:v>AEQA-57</x:v>
      </x:c>
      <x:c r="M12" s="76" t="str"/>
      <x:c r="N12" s="76" t="str">
        <x:v>10/Aug/26 8:02 PM</x:v>
      </x:c>
    </x:row>
    <x:row r="13" ht="31.5" customHeight="1">
      <x:c r="A13" s="76" t="str">
        <x:v>AEQA-9</x:v>
      </x:c>
      <x:c r="B13" s="76" t="str">
        <x:v>Requirement</x:v>
      </x:c>
      <x:c r="C13" s="76" t="str">
        <x:v>REQ-PRODUCT-002 - Search Product</x:v>
      </x:c>
      <x:c r="D13" s="76" t="str">
        <x:v>Done</x:v>
      </x:c>
      <x:c r="E13" s="76" t="str">
        <x:v>High</x:v>
      </x:c>
      <x:c r="F13" s="76" t="str"/>
      <x:c r="G13" s="76" t="str">
        <x:v>REQ-PRODUCT-002</x:v>
      </x:c>
      <x:c r="H13" s="76" t="str"/>
      <x:c r="I13" s="76" t="str"/>
      <x:c r="J13" s="76" t="str"/>
      <x:c r="K13" s="76" t="str"/>
      <x:c r="L13" s="76" t="str">
        <x:v>AEQA-58</x:v>
      </x:c>
      <x:c r="M13" s="76" t="str"/>
      <x:c r="N13" s="76" t="str">
        <x:v>10/Aug/26 8:02 PM</x:v>
      </x:c>
    </x:row>
    <x:row r="14" ht="31.5" customHeight="1">
      <x:c r="A14" s="76" t="str">
        <x:v>AEQA-10</x:v>
      </x:c>
      <x:c r="B14" s="76" t="str">
        <x:v>Requirement</x:v>
      </x:c>
      <x:c r="C14" s="76" t="str">
        <x:v>REQ-SUB-001 - Verify Subscription in home page</x:v>
      </x:c>
      <x:c r="D14" s="76" t="str">
        <x:v>Done</x:v>
      </x:c>
      <x:c r="E14" s="76" t="str">
        <x:v>Medium</x:v>
      </x:c>
      <x:c r="F14" s="76" t="str"/>
      <x:c r="G14" s="76" t="str">
        <x:v>REQ-SUB-001</x:v>
      </x:c>
      <x:c r="H14" s="76" t="str"/>
      <x:c r="I14" s="76" t="str"/>
      <x:c r="J14" s="76" t="str"/>
      <x:c r="K14" s="76" t="str"/>
      <x:c r="L14" s="76" t="str">
        <x:v>AEQA-64</x:v>
      </x:c>
      <x:c r="M14" s="76" t="str"/>
      <x:c r="N14" s="76" t="str">
        <x:v>10/Aug/26 8:02 PM</x:v>
      </x:c>
    </x:row>
    <x:row r="15" ht="31.5" customHeight="1">
      <x:c r="A15" s="76" t="str">
        <x:v>AEQA-11</x:v>
      </x:c>
      <x:c r="B15" s="76" t="str">
        <x:v>Requirement</x:v>
      </x:c>
      <x:c r="C15" s="76" t="str">
        <x:v>REQ-SUB-002 - Verify Subscription in Cart page</x:v>
      </x:c>
      <x:c r="D15" s="76" t="str">
        <x:v>Done</x:v>
      </x:c>
      <x:c r="E15" s="76" t="str">
        <x:v>Medium</x:v>
      </x:c>
      <x:c r="F15" s="76" t="str"/>
      <x:c r="G15" s="76" t="str">
        <x:v>REQ-SUB-002</x:v>
      </x:c>
      <x:c r="H15" s="76" t="str"/>
      <x:c r="I15" s="76" t="str"/>
      <x:c r="J15" s="76" t="str"/>
      <x:c r="K15" s="76" t="str"/>
      <x:c r="L15" s="76" t="str">
        <x:v>AEQA-65</x:v>
      </x:c>
      <x:c r="M15" s="76" t="str"/>
      <x:c r="N15" s="76" t="str">
        <x:v>10/Aug/26 8:02 PM</x:v>
      </x:c>
    </x:row>
    <x:row r="16" ht="31.5" customHeight="1">
      <x:c r="A16" s="76" t="str">
        <x:v>AEQA-12</x:v>
      </x:c>
      <x:c r="B16" s="76" t="str">
        <x:v>Requirement</x:v>
      </x:c>
      <x:c r="C16" s="76" t="str">
        <x:v>REQ-CART-001 - Add Products in Cart</x:v>
      </x:c>
      <x:c r="D16" s="76" t="str">
        <x:v>Selected for Development</x:v>
      </x:c>
      <x:c r="E16" s="76" t="str">
        <x:v>Highest</x:v>
      </x:c>
      <x:c r="F16" s="76" t="str"/>
      <x:c r="G16" s="76" t="str">
        <x:v>REQ-CART-001</x:v>
      </x:c>
      <x:c r="H16" s="76" t="str"/>
      <x:c r="I16" s="76" t="str"/>
      <x:c r="J16" s="76" t="str"/>
      <x:c r="K16" s="76" t="str"/>
      <x:c r="L16" s="76" t="str">
        <x:v>AEQA-59</x:v>
      </x:c>
      <x:c r="M16" s="76" t="str"/>
      <x:c r="N16" s="76" t="str">
        <x:v>10/Aug/26 8:26 PM</x:v>
      </x:c>
    </x:row>
    <x:row r="17" ht="31.5" customHeight="1">
      <x:c r="A17" s="76" t="str">
        <x:v>AEQA-13</x:v>
      </x:c>
      <x:c r="B17" s="76" t="str">
        <x:v>Requirement</x:v>
      </x:c>
      <x:c r="C17" s="76" t="str">
        <x:v>REQ-CART-002 - Verify Product quantity in Cart</x:v>
      </x:c>
      <x:c r="D17" s="76" t="str">
        <x:v>Done</x:v>
      </x:c>
      <x:c r="E17" s="76" t="str">
        <x:v>High</x:v>
      </x:c>
      <x:c r="F17" s="76" t="str"/>
      <x:c r="G17" s="76" t="str">
        <x:v>REQ-CART-002</x:v>
      </x:c>
      <x:c r="H17" s="76" t="str"/>
      <x:c r="I17" s="76" t="str"/>
      <x:c r="J17" s="76" t="str"/>
      <x:c r="K17" s="76" t="str"/>
      <x:c r="L17" s="76" t="str">
        <x:v>AEQA-60</x:v>
      </x:c>
      <x:c r="M17" s="76" t="str"/>
      <x:c r="N17" s="76" t="str">
        <x:v>10/Aug/26 8:02 PM</x:v>
      </x:c>
    </x:row>
    <x:row r="18" ht="31.5" customHeight="1">
      <x:c r="A18" s="76" t="str">
        <x:v>AEQA-14</x:v>
      </x:c>
      <x:c r="B18" s="76" t="str">
        <x:v>Requirement</x:v>
      </x:c>
      <x:c r="C18" s="76" t="str">
        <x:v>REQ-ORDER-001 - Place Order: Register while Checkout</x:v>
      </x:c>
      <x:c r="D18" s="76" t="str">
        <x:v>In Progress</x:v>
      </x:c>
      <x:c r="E18" s="76" t="str">
        <x:v>Highest</x:v>
      </x:c>
      <x:c r="F18" s="76" t="str">
        <x:v>Kevin Mcmahon</x:v>
      </x:c>
      <x:c r="G18" s="76" t="str">
        <x:v>REQ-ORDER-001</x:v>
      </x:c>
      <x:c r="H18" s="76" t="str"/>
      <x:c r="I18" s="76" t="str"/>
      <x:c r="J18" s="76" t="str"/>
      <x:c r="K18" s="76" t="str"/>
      <x:c r="L18" s="76" t="str">
        <x:v>AEQA-107</x:v>
      </x:c>
      <x:c r="M18" s="76" t="str"/>
      <x:c r="N18" s="76" t="str">
        <x:v>11/Aug/26 7:41 AM</x:v>
      </x:c>
    </x:row>
    <x:row r="19" ht="31.5" customHeight="1">
      <x:c r="A19" s="76" t="str">
        <x:v>AEQA-15</x:v>
      </x:c>
      <x:c r="B19" s="76" t="str">
        <x:v>Requirement</x:v>
      </x:c>
      <x:c r="C19" s="76" t="str">
        <x:v>REQ-ORDER-002 - Place Order: Register before Checkout</x:v>
      </x:c>
      <x:c r="D19" s="76" t="str">
        <x:v>Backlog</x:v>
      </x:c>
      <x:c r="E19" s="76" t="str">
        <x:v>Highest</x:v>
      </x:c>
      <x:c r="F19" s="76" t="str">
        <x:v>Kevin Mcmahon</x:v>
      </x:c>
      <x:c r="G19" s="76" t="str">
        <x:v>REQ-ORDER-002</x:v>
      </x:c>
      <x:c r="H19" s="76" t="str"/>
      <x:c r="I19" s="76" t="str"/>
      <x:c r="J19" s="76" t="str"/>
      <x:c r="K19" s="76" t="str"/>
      <x:c r="L19" s="76" t="str">
        <x:v>AEQA-108</x:v>
      </x:c>
      <x:c r="M19" s="76" t="str"/>
      <x:c r="N19" s="76" t="str">
        <x:v>10/Aug/26 8:59 PM</x:v>
      </x:c>
    </x:row>
    <x:row r="20" ht="31.5" customHeight="1">
      <x:c r="A20" s="76" t="str">
        <x:v>AEQA-16</x:v>
      </x:c>
      <x:c r="B20" s="76" t="str">
        <x:v>Requirement</x:v>
      </x:c>
      <x:c r="C20" s="76" t="str">
        <x:v>REQ-ORDER-003 - Place Order: Login before Checkout</x:v>
      </x:c>
      <x:c r="D20" s="76" t="str">
        <x:v>Backlog</x:v>
      </x:c>
      <x:c r="E20" s="76" t="str">
        <x:v>Highest</x:v>
      </x:c>
      <x:c r="F20" s="76" t="str">
        <x:v>Kevin Mcmahon</x:v>
      </x:c>
      <x:c r="G20" s="76" t="str">
        <x:v>REQ-ORDER-003</x:v>
      </x:c>
      <x:c r="H20" s="76" t="str"/>
      <x:c r="I20" s="76" t="str"/>
      <x:c r="J20" s="76" t="str"/>
      <x:c r="K20" s="76" t="str"/>
      <x:c r="L20" s="76" t="str">
        <x:v>AEQA-109</x:v>
      </x:c>
      <x:c r="M20" s="76" t="str"/>
      <x:c r="N20" s="76" t="str">
        <x:v>10/Aug/26 8:59 PM</x:v>
      </x:c>
    </x:row>
    <x:row r="21" ht="31.5" customHeight="1">
      <x:c r="A21" s="76" t="str">
        <x:v>AEQA-17</x:v>
      </x:c>
      <x:c r="B21" s="76" t="str">
        <x:v>Requirement</x:v>
      </x:c>
      <x:c r="C21" s="76" t="str">
        <x:v>REQ-CART-003 - Remove Products From Cart</x:v>
      </x:c>
      <x:c r="D21" s="76" t="str">
        <x:v>Done</x:v>
      </x:c>
      <x:c r="E21" s="76" t="str">
        <x:v>High</x:v>
      </x:c>
      <x:c r="F21" s="76" t="str"/>
      <x:c r="G21" s="76" t="str">
        <x:v>REQ-CART-003</x:v>
      </x:c>
      <x:c r="H21" s="76" t="str"/>
      <x:c r="I21" s="76" t="str"/>
      <x:c r="J21" s="76" t="str"/>
      <x:c r="K21" s="76" t="str"/>
      <x:c r="L21" s="76" t="str">
        <x:v>AEQA-61</x:v>
      </x:c>
      <x:c r="M21" s="76" t="str"/>
      <x:c r="N21" s="76" t="str">
        <x:v>10/Aug/26 8:02 PM</x:v>
      </x:c>
    </x:row>
    <x:row r="22" ht="31.5" customHeight="1">
      <x:c r="A22" s="76" t="str">
        <x:v>AEQA-18</x:v>
      </x:c>
      <x:c r="B22" s="76" t="str">
        <x:v>Requirement</x:v>
      </x:c>
      <x:c r="C22" s="76" t="str">
        <x:v>REQ-CATALOG-001 - View Category Products</x:v>
      </x:c>
      <x:c r="D22" s="76" t="str">
        <x:v>Backlog</x:v>
      </x:c>
      <x:c r="E22" s="76" t="str">
        <x:v>Medium</x:v>
      </x:c>
      <x:c r="F22" s="76" t="str"/>
      <x:c r="G22" s="76" t="str">
        <x:v>REQ-CATALOG-001</x:v>
      </x:c>
      <x:c r="H22" s="76" t="str"/>
      <x:c r="I22" s="76" t="str"/>
      <x:c r="J22" s="76" t="str"/>
      <x:c r="K22" s="76" t="str"/>
      <x:c r="L22" s="76" t="str">
        <x:v>AEQA-110</x:v>
      </x:c>
      <x:c r="M22" s="76" t="str"/>
      <x:c r="N22" s="76" t="str">
        <x:v>10/Aug/26 8:59 PM</x:v>
      </x:c>
    </x:row>
    <x:row r="23" ht="31.5" customHeight="1">
      <x:c r="A23" s="76" t="str">
        <x:v>AEQA-19</x:v>
      </x:c>
      <x:c r="B23" s="76" t="str">
        <x:v>Requirement</x:v>
      </x:c>
      <x:c r="C23" s="76" t="str">
        <x:v>REQ-CATALOG-002 - View &amp; Cart Brand Products</x:v>
      </x:c>
      <x:c r="D23" s="76" t="str">
        <x:v>Backlog</x:v>
      </x:c>
      <x:c r="E23" s="76" t="str">
        <x:v>Medium</x:v>
      </x:c>
      <x:c r="F23" s="76" t="str"/>
      <x:c r="G23" s="76" t="str">
        <x:v>REQ-CATALOG-002</x:v>
      </x:c>
      <x:c r="H23" s="76" t="str"/>
      <x:c r="I23" s="76" t="str"/>
      <x:c r="J23" s="76" t="str"/>
      <x:c r="K23" s="76" t="str"/>
      <x:c r="L23" s="76" t="str">
        <x:v>AEQA-111</x:v>
      </x:c>
      <x:c r="M23" s="76" t="str"/>
      <x:c r="N23" s="76" t="str">
        <x:v>10/Aug/26 8:59 PM</x:v>
      </x:c>
    </x:row>
    <x:row r="24" ht="31.5" customHeight="1">
      <x:c r="A24" s="76" t="str">
        <x:v>AEQA-20</x:v>
      </x:c>
      <x:c r="B24" s="76" t="str">
        <x:v>Requirement</x:v>
      </x:c>
      <x:c r="C24" s="76" t="str">
        <x:v>REQ-CART-004 - Search Products and Verify Cart After Login</x:v>
      </x:c>
      <x:c r="D24" s="76" t="str">
        <x:v>Backlog</x:v>
      </x:c>
      <x:c r="E24" s="76" t="str">
        <x:v>High</x:v>
      </x:c>
      <x:c r="F24" s="76" t="str"/>
      <x:c r="G24" s="76" t="str">
        <x:v>REQ-CART-004</x:v>
      </x:c>
      <x:c r="H24" s="76" t="str"/>
      <x:c r="I24" s="76" t="str"/>
      <x:c r="J24" s="76" t="str"/>
      <x:c r="K24" s="76" t="str"/>
      <x:c r="L24" s="76" t="str">
        <x:v>AEQA-112</x:v>
      </x:c>
      <x:c r="M24" s="76" t="str"/>
      <x:c r="N24" s="76" t="str">
        <x:v>10/Aug/26 8:59 PM</x:v>
      </x:c>
    </x:row>
    <x:row r="25" ht="31.5" customHeight="1">
      <x:c r="A25" s="76" t="str">
        <x:v>AEQA-21</x:v>
      </x:c>
      <x:c r="B25" s="76" t="str">
        <x:v>Requirement</x:v>
      </x:c>
      <x:c r="C25" s="76" t="str">
        <x:v>REQ-REVIEW-001 - Add review on product</x:v>
      </x:c>
      <x:c r="D25" s="76" t="str">
        <x:v>Backlog</x:v>
      </x:c>
      <x:c r="E25" s="76" t="str">
        <x:v>Medium</x:v>
      </x:c>
      <x:c r="F25" s="76" t="str"/>
      <x:c r="G25" s="76" t="str">
        <x:v>REQ-REVIEW-001</x:v>
      </x:c>
      <x:c r="H25" s="76" t="str"/>
      <x:c r="I25" s="76" t="str"/>
      <x:c r="J25" s="76" t="str"/>
      <x:c r="K25" s="76" t="str"/>
      <x:c r="L25" s="76" t="str">
        <x:v>AEQA-113</x:v>
      </x:c>
      <x:c r="M25" s="76" t="str"/>
      <x:c r="N25" s="76" t="str">
        <x:v>10/Aug/26 8:59 PM</x:v>
      </x:c>
    </x:row>
    <x:row r="26" ht="31.5" customHeight="1">
      <x:c r="A26" s="76" t="str">
        <x:v>AEQA-22</x:v>
      </x:c>
      <x:c r="B26" s="76" t="str">
        <x:v>Requirement</x:v>
      </x:c>
      <x:c r="C26" s="76" t="str">
        <x:v>REQ-CART-005 - Add to cart from Recommended items</x:v>
      </x:c>
      <x:c r="D26" s="76" t="str">
        <x:v>Backlog</x:v>
      </x:c>
      <x:c r="E26" s="76" t="str">
        <x:v>Medium</x:v>
      </x:c>
      <x:c r="F26" s="76" t="str"/>
      <x:c r="G26" s="76" t="str">
        <x:v>REQ-CART-005</x:v>
      </x:c>
      <x:c r="H26" s="76" t="str"/>
      <x:c r="I26" s="76" t="str"/>
      <x:c r="J26" s="76" t="str"/>
      <x:c r="K26" s="76" t="str"/>
      <x:c r="L26" s="76" t="str">
        <x:v>AEQA-114</x:v>
      </x:c>
      <x:c r="M26" s="76" t="str"/>
      <x:c r="N26" s="76" t="str">
        <x:v>10/Aug/26 8:59 PM</x:v>
      </x:c>
    </x:row>
    <x:row r="27" ht="31.5" customHeight="1">
      <x:c r="A27" s="76" t="str">
        <x:v>AEQA-23</x:v>
      </x:c>
      <x:c r="B27" s="76" t="str">
        <x:v>Requirement</x:v>
      </x:c>
      <x:c r="C27" s="76" t="str">
        <x:v>REQ-ORDER-004 - Verify address details in checkout page</x:v>
      </x:c>
      <x:c r="D27" s="76" t="str">
        <x:v>Backlog</x:v>
      </x:c>
      <x:c r="E27" s="76" t="str">
        <x:v>Highest</x:v>
      </x:c>
      <x:c r="F27" s="76" t="str"/>
      <x:c r="G27" s="76" t="str">
        <x:v>REQ-ORDER-004</x:v>
      </x:c>
      <x:c r="H27" s="76" t="str"/>
      <x:c r="I27" s="76" t="str"/>
      <x:c r="J27" s="76" t="str"/>
      <x:c r="K27" s="76" t="str"/>
      <x:c r="L27" s="76" t="str">
        <x:v>AEQA-115</x:v>
      </x:c>
      <x:c r="M27" s="76" t="str"/>
      <x:c r="N27" s="76" t="str">
        <x:v>10/Aug/26 8:59 PM</x:v>
      </x:c>
    </x:row>
    <x:row r="28" ht="31.5" customHeight="1">
      <x:c r="A28" s="76" t="str">
        <x:v>AEQA-24</x:v>
      </x:c>
      <x:c r="B28" s="76" t="str">
        <x:v>Requirement</x:v>
      </x:c>
      <x:c r="C28" s="76" t="str">
        <x:v>REQ-ORDER-005 - Download Invoice after purchase order</x:v>
      </x:c>
      <x:c r="D28" s="76" t="str">
        <x:v>Backlog</x:v>
      </x:c>
      <x:c r="E28" s="76" t="str">
        <x:v>High</x:v>
      </x:c>
      <x:c r="F28" s="76" t="str"/>
      <x:c r="G28" s="76" t="str">
        <x:v>REQ-ORDER-005</x:v>
      </x:c>
      <x:c r="H28" s="76" t="str"/>
      <x:c r="I28" s="76" t="str"/>
      <x:c r="J28" s="76" t="str"/>
      <x:c r="K28" s="76" t="str"/>
      <x:c r="L28" s="76" t="str">
        <x:v>AEQA-116</x:v>
      </x:c>
      <x:c r="M28" s="76" t="str"/>
      <x:c r="N28" s="76" t="str">
        <x:v>10/Aug/26 8:59 PM</x:v>
      </x:c>
    </x:row>
    <x:row r="29" ht="31.5" customHeight="1">
      <x:c r="A29" s="76" t="str">
        <x:v>AEQA-25</x:v>
      </x:c>
      <x:c r="B29" s="76" t="str">
        <x:v>Requirement</x:v>
      </x:c>
      <x:c r="C29" s="76" t="str">
        <x:v>REQ-NAV-002 - Verify Scroll Up using 'Arrow' button and Scroll Down functionality</x:v>
      </x:c>
      <x:c r="D29" s="76" t="str">
        <x:v>Backlog</x:v>
      </x:c>
      <x:c r="E29" s="76" t="str">
        <x:v>Low</x:v>
      </x:c>
      <x:c r="F29" s="76" t="str"/>
      <x:c r="G29" s="76" t="str">
        <x:v>REQ-NAV-002</x:v>
      </x:c>
      <x:c r="H29" s="76" t="str"/>
      <x:c r="I29" s="76" t="str"/>
      <x:c r="J29" s="76" t="str"/>
      <x:c r="K29" s="76" t="str"/>
      <x:c r="L29" s="76" t="str">
        <x:v>AEQA-117</x:v>
      </x:c>
      <x:c r="M29" s="76" t="str"/>
      <x:c r="N29" s="76" t="str">
        <x:v>10/Aug/26 8:59 PM</x:v>
      </x:c>
    </x:row>
    <x:row r="30" ht="31.5" customHeight="1">
      <x:c r="A30" s="76" t="str">
        <x:v>AEQA-26</x:v>
      </x:c>
      <x:c r="B30" s="76" t="str">
        <x:v>Requirement</x:v>
      </x:c>
      <x:c r="C30" s="76" t="str">
        <x:v>REQ-NAV-003 - Verify Scroll Up without 'Arrow' button and Scroll Down functionality</x:v>
      </x:c>
      <x:c r="D30" s="76" t="str">
        <x:v>Backlog</x:v>
      </x:c>
      <x:c r="E30" s="76" t="str">
        <x:v>Low</x:v>
      </x:c>
      <x:c r="F30" s="76" t="str"/>
      <x:c r="G30" s="76" t="str">
        <x:v>REQ-NAV-003</x:v>
      </x:c>
      <x:c r="H30" s="76" t="str"/>
      <x:c r="I30" s="76" t="str"/>
      <x:c r="J30" s="76" t="str"/>
      <x:c r="K30" s="76" t="str"/>
      <x:c r="L30" s="76" t="str">
        <x:v>AEQA-118</x:v>
      </x:c>
      <x:c r="M30" s="76" t="str"/>
      <x:c r="N30" s="76" t="str">
        <x:v>10/Aug/26 9:00 PM</x:v>
      </x:c>
    </x:row>
    <x:row r="31" ht="31.5" customHeight="1">
      <x:c r="A31" s="76" t="str">
        <x:v>AEQA-27</x:v>
      </x:c>
      <x:c r="B31" s="76" t="str">
        <x:v>Requirement</x:v>
      </x:c>
      <x:c r="C31" s="76" t="str">
        <x:v>REQ-EXT-001 - Reject invalid email format during registration</x:v>
      </x:c>
      <x:c r="D31" s="76" t="str">
        <x:v>Done</x:v>
      </x:c>
      <x:c r="E31" s="76" t="str">
        <x:v>High</x:v>
      </x:c>
      <x:c r="F31" s="76" t="str"/>
      <x:c r="G31" s="76" t="str">
        <x:v>REQ-EXT-001</x:v>
      </x:c>
      <x:c r="H31" s="76" t="str"/>
      <x:c r="I31" s="76" t="str"/>
      <x:c r="J31" s="76" t="str"/>
      <x:c r="K31" s="76" t="str"/>
      <x:c r="L31" s="76" t="str">
        <x:v>AEQA-47</x:v>
      </x:c>
      <x:c r="M31" s="76" t="str"/>
      <x:c r="N31" s="76" t="str">
        <x:v>10/Aug/26 8:02 PM</x:v>
      </x:c>
    </x:row>
    <x:row r="32" ht="31.5" customHeight="1">
      <x:c r="A32" s="76" t="str">
        <x:v>AEQA-28</x:v>
      </x:c>
      <x:c r="B32" s="76" t="str">
        <x:v>Requirement</x:v>
      </x:c>
      <x:c r="C32" s="76" t="str">
        <x:v>REQ-EXT-002 - Prevent account creation when required fields are blank</x:v>
      </x:c>
      <x:c r="D32" s="76" t="str">
        <x:v>Done</x:v>
      </x:c>
      <x:c r="E32" s="76" t="str">
        <x:v>High</x:v>
      </x:c>
      <x:c r="F32" s="76" t="str"/>
      <x:c r="G32" s="76" t="str">
        <x:v>REQ-EXT-002</x:v>
      </x:c>
      <x:c r="H32" s="76" t="str"/>
      <x:c r="I32" s="76" t="str"/>
      <x:c r="J32" s="76" t="str"/>
      <x:c r="K32" s="76" t="str"/>
      <x:c r="L32" s="76" t="str">
        <x:v>AEQA-48</x:v>
      </x:c>
      <x:c r="M32" s="76" t="str"/>
      <x:c r="N32" s="76" t="str">
        <x:v>10/Aug/26 8:02 PM</x:v>
      </x:c>
    </x:row>
    <x:row r="33" ht="31.5" customHeight="1">
      <x:c r="A33" s="76" t="str">
        <x:v>AEQA-29</x:v>
      </x:c>
      <x:c r="B33" s="76" t="str">
        <x:v>Requirement</x:v>
      </x:c>
      <x:c r="C33" s="76" t="str">
        <x:v>REQ-EXT-003 - Reject SQL injection input without authenticating the user</x:v>
      </x:c>
      <x:c r="D33" s="76" t="str">
        <x:v>Done</x:v>
      </x:c>
      <x:c r="E33" s="76" t="str">
        <x:v>High</x:v>
      </x:c>
      <x:c r="F33" s="76" t="str"/>
      <x:c r="G33" s="76" t="str">
        <x:v>REQ-EXT-003</x:v>
      </x:c>
      <x:c r="H33" s="76" t="str"/>
      <x:c r="I33" s="76" t="str"/>
      <x:c r="J33" s="76" t="str"/>
      <x:c r="K33" s="76" t="str"/>
      <x:c r="L33" s="76" t="str">
        <x:v>AEQA-50</x:v>
      </x:c>
      <x:c r="M33" s="76" t="str"/>
      <x:c r="N33" s="76" t="str">
        <x:v>10/Aug/26 8:02 PM</x:v>
      </x:c>
    </x:row>
    <x:row r="34" ht="31.5" customHeight="1">
      <x:c r="A34" s="76" t="str">
        <x:v>AEQA-30</x:v>
      </x:c>
      <x:c r="B34" s="76" t="str">
        <x:v>Requirement</x:v>
      </x:c>
      <x:c r="C34" s="76" t="str">
        <x:v>REQ-EXT-004 - Preserve an active account across logout and a new browser tab</x:v>
      </x:c>
      <x:c r="D34" s="76" t="str">
        <x:v>Done</x:v>
      </x:c>
      <x:c r="E34" s="76" t="str">
        <x:v>High</x:v>
      </x:c>
      <x:c r="F34" s="76" t="str"/>
      <x:c r="G34" s="76" t="str">
        <x:v>REQ-EXT-004</x:v>
      </x:c>
      <x:c r="H34" s="76" t="str"/>
      <x:c r="I34" s="76" t="str"/>
      <x:c r="J34" s="76" t="str"/>
      <x:c r="K34" s="76" t="str"/>
      <x:c r="L34" s="76" t="str">
        <x:v>AEQA-54</x:v>
      </x:c>
      <x:c r="M34" s="76" t="str"/>
      <x:c r="N34" s="76" t="str">
        <x:v>10/Aug/26 8:02 PM</x:v>
      </x:c>
    </x:row>
    <x:row r="35" ht="31.5" customHeight="1">
      <x:c r="A35" s="76" t="str">
        <x:v>AEQA-31</x:v>
      </x:c>
      <x:c r="B35" s="76" t="str">
        <x:v>Requirement</x:v>
      </x:c>
      <x:c r="C35" s="76" t="str">
        <x:v>REQ-API-001 - Get All Products List</x:v>
      </x:c>
      <x:c r="D35" s="76" t="str">
        <x:v>Done</x:v>
      </x:c>
      <x:c r="E35" s="76" t="str">
        <x:v>High</x:v>
      </x:c>
      <x:c r="F35" s="76" t="str"/>
      <x:c r="G35" s="76" t="str">
        <x:v>REQ-API-001</x:v>
      </x:c>
      <x:c r="H35" s="76" t="str"/>
      <x:c r="I35" s="76" t="str"/>
      <x:c r="J35" s="76" t="str"/>
      <x:c r="K35" s="76" t="str"/>
      <x:c r="L35" s="76" t="str">
        <x:v>AEQA-66</x:v>
      </x:c>
      <x:c r="M35" s="76" t="str"/>
      <x:c r="N35" s="76" t="str">
        <x:v>10/Aug/26 8:02 PM</x:v>
      </x:c>
    </x:row>
    <x:row r="36" ht="31.5" customHeight="1">
      <x:c r="A36" s="76" t="str">
        <x:v>AEQA-32</x:v>
      </x:c>
      <x:c r="B36" s="76" t="str">
        <x:v>Requirement</x:v>
      </x:c>
      <x:c r="C36" s="76" t="str">
        <x:v>REQ-API-002 - POST To All Products List</x:v>
      </x:c>
      <x:c r="D36" s="76" t="str">
        <x:v>Done</x:v>
      </x:c>
      <x:c r="E36" s="76" t="str">
        <x:v>Medium</x:v>
      </x:c>
      <x:c r="F36" s="76" t="str"/>
      <x:c r="G36" s="76" t="str">
        <x:v>REQ-API-002</x:v>
      </x:c>
      <x:c r="H36" s="76" t="str"/>
      <x:c r="I36" s="76" t="str"/>
      <x:c r="J36" s="76" t="str"/>
      <x:c r="K36" s="76" t="str"/>
      <x:c r="L36" s="76" t="str">
        <x:v>AEQA-67</x:v>
      </x:c>
      <x:c r="M36" s="76" t="str"/>
      <x:c r="N36" s="76" t="str">
        <x:v>10/Aug/26 8:02 PM</x:v>
      </x:c>
    </x:row>
    <x:row r="37" ht="31.5" customHeight="1">
      <x:c r="A37" s="76" t="str">
        <x:v>AEQA-33</x:v>
      </x:c>
      <x:c r="B37" s="76" t="str">
        <x:v>Requirement</x:v>
      </x:c>
      <x:c r="C37" s="76" t="str">
        <x:v>REQ-API-003 - Get All Brands List</x:v>
      </x:c>
      <x:c r="D37" s="76" t="str">
        <x:v>Done</x:v>
      </x:c>
      <x:c r="E37" s="76" t="str">
        <x:v>High</x:v>
      </x:c>
      <x:c r="F37" s="76" t="str"/>
      <x:c r="G37" s="76" t="str">
        <x:v>REQ-API-003</x:v>
      </x:c>
      <x:c r="H37" s="76" t="str"/>
      <x:c r="I37" s="76" t="str"/>
      <x:c r="J37" s="76" t="str"/>
      <x:c r="K37" s="76" t="str"/>
      <x:c r="L37" s="76" t="str">
        <x:v>AEQA-68</x:v>
      </x:c>
      <x:c r="M37" s="76" t="str"/>
      <x:c r="N37" s="76" t="str">
        <x:v>10/Aug/26 8:02 PM</x:v>
      </x:c>
    </x:row>
    <x:row r="38" ht="31.5" customHeight="1">
      <x:c r="A38" s="76" t="str">
        <x:v>AEQA-34</x:v>
      </x:c>
      <x:c r="B38" s="76" t="str">
        <x:v>Requirement</x:v>
      </x:c>
      <x:c r="C38" s="76" t="str">
        <x:v>REQ-API-004 - PUT To All Brands List</x:v>
      </x:c>
      <x:c r="D38" s="76" t="str">
        <x:v>Done</x:v>
      </x:c>
      <x:c r="E38" s="76" t="str">
        <x:v>Medium</x:v>
      </x:c>
      <x:c r="F38" s="76" t="str"/>
      <x:c r="G38" s="76" t="str">
        <x:v>REQ-API-004</x:v>
      </x:c>
      <x:c r="H38" s="76" t="str"/>
      <x:c r="I38" s="76" t="str"/>
      <x:c r="J38" s="76" t="str"/>
      <x:c r="K38" s="76" t="str"/>
      <x:c r="L38" s="76" t="str">
        <x:v>AEQA-69</x:v>
      </x:c>
      <x:c r="M38" s="76" t="str"/>
      <x:c r="N38" s="76" t="str">
        <x:v>10/Aug/26 8:02 PM</x:v>
      </x:c>
    </x:row>
    <x:row r="39" ht="31.5" customHeight="1">
      <x:c r="A39" s="76" t="str">
        <x:v>AEQA-35</x:v>
      </x:c>
      <x:c r="B39" s="76" t="str">
        <x:v>Requirement</x:v>
      </x:c>
      <x:c r="C39" s="76" t="str">
        <x:v>REQ-API-005 - POST To Search Product</x:v>
      </x:c>
      <x:c r="D39" s="76" t="str">
        <x:v>Done</x:v>
      </x:c>
      <x:c r="E39" s="76" t="str">
        <x:v>High</x:v>
      </x:c>
      <x:c r="F39" s="76" t="str"/>
      <x:c r="G39" s="76" t="str">
        <x:v>REQ-API-005</x:v>
      </x:c>
      <x:c r="H39" s="76" t="str"/>
      <x:c r="I39" s="76" t="str"/>
      <x:c r="J39" s="76" t="str"/>
      <x:c r="K39" s="76" t="str"/>
      <x:c r="L39" s="76" t="str">
        <x:v>AEQA-70</x:v>
      </x:c>
      <x:c r="M39" s="76" t="str"/>
      <x:c r="N39" s="76" t="str">
        <x:v>10/Aug/26 8:02 PM</x:v>
      </x:c>
    </x:row>
    <x:row r="40" ht="31.5" customHeight="1">
      <x:c r="A40" s="76" t="str">
        <x:v>AEQA-36</x:v>
      </x:c>
      <x:c r="B40" s="76" t="str">
        <x:v>Requirement</x:v>
      </x:c>
      <x:c r="C40" s="76" t="str">
        <x:v>REQ-API-006 - POST To Search Product without search_product 
parameter</x:v>
      </x:c>
      <x:c r="D40" s="76" t="str">
        <x:v>Done</x:v>
      </x:c>
      <x:c r="E40" s="76" t="str">
        <x:v>High</x:v>
      </x:c>
      <x:c r="F40" s="76" t="str"/>
      <x:c r="G40" s="76" t="str">
        <x:v>REQ-API-006</x:v>
      </x:c>
      <x:c r="H40" s="76" t="str"/>
      <x:c r="I40" s="76" t="str"/>
      <x:c r="J40" s="76" t="str"/>
      <x:c r="K40" s="76" t="str"/>
      <x:c r="L40" s="76" t="str">
        <x:v>AEQA-71</x:v>
      </x:c>
      <x:c r="M40" s="76" t="str"/>
      <x:c r="N40" s="76" t="str">
        <x:v>10/Aug/26 8:02 PM</x:v>
      </x:c>
    </x:row>
    <x:row r="41" ht="31.5" customHeight="1">
      <x:c r="A41" s="76" t="str">
        <x:v>AEQA-37</x:v>
      </x:c>
      <x:c r="B41" s="76" t="str">
        <x:v>Requirement</x:v>
      </x:c>
      <x:c r="C41" s="76" t="str">
        <x:v>REQ-API-007 - POST To Verify Login with valid details</x:v>
      </x:c>
      <x:c r="D41" s="76" t="str">
        <x:v>Done</x:v>
      </x:c>
      <x:c r="E41" s="76" t="str">
        <x:v>Highest</x:v>
      </x:c>
      <x:c r="F41" s="76" t="str"/>
      <x:c r="G41" s="76" t="str">
        <x:v>REQ-API-007</x:v>
      </x:c>
      <x:c r="H41" s="76" t="str"/>
      <x:c r="I41" s="76" t="str"/>
      <x:c r="J41" s="76" t="str"/>
      <x:c r="K41" s="76" t="str"/>
      <x:c r="L41" s="76" t="str">
        <x:v>AEQA-72</x:v>
      </x:c>
      <x:c r="M41" s="76" t="str"/>
      <x:c r="N41" s="76" t="str">
        <x:v>10/Aug/26 8:02 PM</x:v>
      </x:c>
    </x:row>
    <x:row r="42" ht="31.5" customHeight="1">
      <x:c r="A42" s="76" t="str">
        <x:v>AEQA-38</x:v>
      </x:c>
      <x:c r="B42" s="76" t="str">
        <x:v>Requirement</x:v>
      </x:c>
      <x:c r="C42" s="76" t="str">
        <x:v>REQ-API-008 - POST To Verify Login without email parameter</x:v>
      </x:c>
      <x:c r="D42" s="76" t="str">
        <x:v>Done</x:v>
      </x:c>
      <x:c r="E42" s="76" t="str">
        <x:v>High</x:v>
      </x:c>
      <x:c r="F42" s="76" t="str"/>
      <x:c r="G42" s="76" t="str">
        <x:v>REQ-API-008</x:v>
      </x:c>
      <x:c r="H42" s="76" t="str"/>
      <x:c r="I42" s="76" t="str"/>
      <x:c r="J42" s="76" t="str"/>
      <x:c r="K42" s="76" t="str"/>
      <x:c r="L42" s="76" t="str">
        <x:v>AEQA-73</x:v>
      </x:c>
      <x:c r="M42" s="76" t="str"/>
      <x:c r="N42" s="76" t="str">
        <x:v>10/Aug/26 8:02 PM</x:v>
      </x:c>
    </x:row>
    <x:row r="43" ht="31.5" customHeight="1">
      <x:c r="A43" s="76" t="str">
        <x:v>AEQA-39</x:v>
      </x:c>
      <x:c r="B43" s="76" t="str">
        <x:v>Requirement</x:v>
      </x:c>
      <x:c r="C43" s="76" t="str">
        <x:v>REQ-API-009 - DELETE To Verify Login</x:v>
      </x:c>
      <x:c r="D43" s="76" t="str">
        <x:v>Done</x:v>
      </x:c>
      <x:c r="E43" s="76" t="str">
        <x:v>Medium</x:v>
      </x:c>
      <x:c r="F43" s="76" t="str"/>
      <x:c r="G43" s="76" t="str">
        <x:v>REQ-API-009</x:v>
      </x:c>
      <x:c r="H43" s="76" t="str"/>
      <x:c r="I43" s="76" t="str"/>
      <x:c r="J43" s="76" t="str"/>
      <x:c r="K43" s="76" t="str"/>
      <x:c r="L43" s="76" t="str">
        <x:v>AEQA-74</x:v>
      </x:c>
      <x:c r="M43" s="76" t="str"/>
      <x:c r="N43" s="76" t="str">
        <x:v>10/Aug/26 8:02 PM</x:v>
      </x:c>
    </x:row>
    <x:row r="44" ht="31.5" customHeight="1">
      <x:c r="A44" s="76" t="str">
        <x:v>AEQA-40</x:v>
      </x:c>
      <x:c r="B44" s="76" t="str">
        <x:v>Requirement</x:v>
      </x:c>
      <x:c r="C44" s="76" t="str">
        <x:v>REQ-API-010 - POST To Verify Login with invalid details</x:v>
      </x:c>
      <x:c r="D44" s="76" t="str">
        <x:v>Done</x:v>
      </x:c>
      <x:c r="E44" s="76" t="str">
        <x:v>High</x:v>
      </x:c>
      <x:c r="F44" s="76" t="str"/>
      <x:c r="G44" s="76" t="str">
        <x:v>REQ-API-010</x:v>
      </x:c>
      <x:c r="H44" s="76" t="str"/>
      <x:c r="I44" s="76" t="str"/>
      <x:c r="J44" s="76" t="str"/>
      <x:c r="K44" s="76" t="str"/>
      <x:c r="L44" s="76" t="str">
        <x:v>AEQA-75</x:v>
      </x:c>
      <x:c r="M44" s="76" t="str"/>
      <x:c r="N44" s="76" t="str">
        <x:v>10/Aug/26 8:02 PM</x:v>
      </x:c>
    </x:row>
    <x:row r="45" ht="31.5" customHeight="1">
      <x:c r="A45" s="76" t="str">
        <x:v>AEQA-41</x:v>
      </x:c>
      <x:c r="B45" s="76" t="str">
        <x:v>Requirement</x:v>
      </x:c>
      <x:c r="C45" s="76" t="str">
        <x:v>REQ-API-011 - POST To Create/Register User Account</x:v>
      </x:c>
      <x:c r="D45" s="76" t="str">
        <x:v>Done</x:v>
      </x:c>
      <x:c r="E45" s="76" t="str">
        <x:v>Highest</x:v>
      </x:c>
      <x:c r="F45" s="76" t="str"/>
      <x:c r="G45" s="76" t="str">
        <x:v>REQ-API-011</x:v>
      </x:c>
      <x:c r="H45" s="76" t="str"/>
      <x:c r="I45" s="76" t="str"/>
      <x:c r="J45" s="76" t="str"/>
      <x:c r="K45" s="76" t="str"/>
      <x:c r="L45" s="76" t="str">
        <x:v>AEQA-76</x:v>
      </x:c>
      <x:c r="M45" s="76" t="str"/>
      <x:c r="N45" s="76" t="str">
        <x:v>10/Aug/26 8:02 PM</x:v>
      </x:c>
    </x:row>
    <x:row r="46" ht="31.5" customHeight="1">
      <x:c r="A46" s="76" t="str">
        <x:v>AEQA-42</x:v>
      </x:c>
      <x:c r="B46" s="76" t="str">
        <x:v>Requirement</x:v>
      </x:c>
      <x:c r="C46" s="76" t="str">
        <x:v>REQ-API-012 - DELETE METHOD To Delete User Account</x:v>
      </x:c>
      <x:c r="D46" s="76" t="str">
        <x:v>Done</x:v>
      </x:c>
      <x:c r="E46" s="76" t="str">
        <x:v>Highest</x:v>
      </x:c>
      <x:c r="F46" s="76" t="str"/>
      <x:c r="G46" s="76" t="str">
        <x:v>REQ-API-012</x:v>
      </x:c>
      <x:c r="H46" s="76" t="str"/>
      <x:c r="I46" s="76" t="str"/>
      <x:c r="J46" s="76" t="str"/>
      <x:c r="K46" s="76" t="str"/>
      <x:c r="L46" s="76" t="str">
        <x:v>AEQA-77</x:v>
      </x:c>
      <x:c r="M46" s="76" t="str"/>
      <x:c r="N46" s="76" t="str">
        <x:v>10/Aug/26 8:02 PM</x:v>
      </x:c>
    </x:row>
    <x:row r="47" ht="31.5" customHeight="1">
      <x:c r="A47" s="76" t="str">
        <x:v>AEQA-43</x:v>
      </x:c>
      <x:c r="B47" s="76" t="str">
        <x:v>Requirement</x:v>
      </x:c>
      <x:c r="C47" s="76" t="str">
        <x:v>REQ-API-013 - PUT METHOD To Update User Account</x:v>
      </x:c>
      <x:c r="D47" s="76" t="str">
        <x:v>Done</x:v>
      </x:c>
      <x:c r="E47" s="76" t="str">
        <x:v>High</x:v>
      </x:c>
      <x:c r="F47" s="76" t="str"/>
      <x:c r="G47" s="76" t="str">
        <x:v>REQ-API-013</x:v>
      </x:c>
      <x:c r="H47" s="76" t="str"/>
      <x:c r="I47" s="76" t="str"/>
      <x:c r="J47" s="76" t="str"/>
      <x:c r="K47" s="76" t="str"/>
      <x:c r="L47" s="76" t="str">
        <x:v>AEQA-78</x:v>
      </x:c>
      <x:c r="M47" s="76" t="str"/>
      <x:c r="N47" s="76" t="str">
        <x:v>10/Aug/26 8:02 PM</x:v>
      </x:c>
    </x:row>
    <x:row r="48" ht="31.5" customHeight="1">
      <x:c r="A48" s="76" t="str">
        <x:v>AEQA-44</x:v>
      </x:c>
      <x:c r="B48" s="76" t="str">
        <x:v>Requirement</x:v>
      </x:c>
      <x:c r="C48" s="76" t="str">
        <x:v>REQ-API-014 - GET user account detail by email</x:v>
      </x:c>
      <x:c r="D48" s="76" t="str">
        <x:v>Done</x:v>
      </x:c>
      <x:c r="E48" s="76" t="str">
        <x:v>High</x:v>
      </x:c>
      <x:c r="F48" s="76" t="str"/>
      <x:c r="G48" s="76" t="str">
        <x:v>REQ-API-014</x:v>
      </x:c>
      <x:c r="H48" s="76" t="str"/>
      <x:c r="I48" s="76" t="str"/>
      <x:c r="J48" s="76" t="str"/>
      <x:c r="K48" s="76" t="str"/>
      <x:c r="L48" s="76" t="str">
        <x:v>AEQA-79</x:v>
      </x:c>
      <x:c r="M48" s="76" t="str"/>
      <x:c r="N48" s="76" t="str">
        <x:v>10/Aug/26 8:02 PM</x:v>
      </x:c>
    </x:row>
    <x:row r="49" ht="31.5" customHeight="1">
      <x:c r="A49" s="76" t="str">
        <x:v>AEQA-45</x:v>
      </x:c>
      <x:c r="B49" s="76" t="str">
        <x:v>Test Case</x:v>
      </x:c>
      <x:c r="C49" s="76" t="str">
        <x:v>AE-SIGNUP-001 - Verify a new user can begin registration using a valid name and unregistered email address</x:v>
      </x:c>
      <x:c r="D49" s="76" t="str">
        <x:v>Done</x:v>
      </x:c>
      <x:c r="E49" s="76" t="str">
        <x:v>High</x:v>
      </x:c>
      <x:c r="F49" s="76" t="str">
        <x:v>Kevin Mcmahon</x:v>
      </x:c>
      <x:c r="G49" s="76" t="str"/>
      <x:c r="H49" s="76" t="str">
        <x:v>AE-SIGNUP-001</x:v>
      </x:c>
      <x:c r="I49" s="76" t="str"/>
      <x:c r="J49" s="76" t="str">
        <x:v>Pass</x:v>
      </x:c>
      <x:c r="K49" s="76" t="str">
        <x:v>Manual</x:v>
      </x:c>
      <x:c r="L49" s="76" t="str">
        <x:v>AEQA-1</x:v>
      </x:c>
      <x:c r="M49" s="76" t="str"/>
      <x:c r="N49" s="76" t="str">
        <x:v>10/Aug/26 7:58 PM</x:v>
      </x:c>
    </x:row>
    <x:row r="50" ht="31.5" customHeight="1">
      <x:c r="A50" s="76" t="str">
        <x:v>AEQA-46</x:v>
      </x:c>
      <x:c r="B50" s="76" t="str">
        <x:v>Test Case</x:v>
      </x:c>
      <x:c r="C50" s="76" t="str">
        <x:v>AE-SIGNUP-002 - Verify a new user can create an account using valid required information</x:v>
      </x:c>
      <x:c r="D50" s="76" t="str">
        <x:v>Done</x:v>
      </x:c>
      <x:c r="E50" s="76" t="str">
        <x:v>Highest</x:v>
      </x:c>
      <x:c r="F50" s="76" t="str">
        <x:v>Kevin Mcmahon</x:v>
      </x:c>
      <x:c r="G50" s="76" t="str"/>
      <x:c r="H50" s="76" t="str">
        <x:v>AE-SIGNUP-002</x:v>
      </x:c>
      <x:c r="I50" s="76" t="str"/>
      <x:c r="J50" s="76" t="str">
        <x:v>Pass</x:v>
      </x:c>
      <x:c r="K50" s="76" t="str">
        <x:v>Manual</x:v>
      </x:c>
      <x:c r="L50" s="76" t="str">
        <x:v>AEQA-1</x:v>
      </x:c>
      <x:c r="M50" s="76" t="str"/>
      <x:c r="N50" s="76" t="str">
        <x:v>10/Aug/26 7:58 PM</x:v>
      </x:c>
    </x:row>
    <x:row r="51" ht="31.5" customHeight="1">
      <x:c r="A51" s="76" t="str">
        <x:v>AEQA-47</x:v>
      </x:c>
      <x:c r="B51" s="76" t="str">
        <x:v>Test Case</x:v>
      </x:c>
      <x:c r="C51" s="76" t="str">
        <x:v>AE-SIGNUP-003 - Verify that registration is prevented when a user enters invalid email address</x:v>
      </x:c>
      <x:c r="D51" s="76" t="str">
        <x:v>Done</x:v>
      </x:c>
      <x:c r="E51" s="76" t="str">
        <x:v>High</x:v>
      </x:c>
      <x:c r="F51" s="76" t="str">
        <x:v>Kevin Mcmahon</x:v>
      </x:c>
      <x:c r="G51" s="76" t="str"/>
      <x:c r="H51" s="76" t="str">
        <x:v>AE-SIGNUP-003</x:v>
      </x:c>
      <x:c r="I51" s="76" t="str"/>
      <x:c r="J51" s="76" t="str">
        <x:v>Pass</x:v>
      </x:c>
      <x:c r="K51" s="76" t="str">
        <x:v>Manual</x:v>
      </x:c>
      <x:c r="L51" s="76" t="str">
        <x:v>AEQA-27</x:v>
      </x:c>
      <x:c r="M51" s="76" t="str"/>
      <x:c r="N51" s="76" t="str">
        <x:v>10/Aug/26 7:58 PM</x:v>
      </x:c>
    </x:row>
    <x:row r="52" ht="31.5" customHeight="1">
      <x:c r="A52" s="76" t="str">
        <x:v>AEQA-48</x:v>
      </x:c>
      <x:c r="B52" s="76" t="str">
        <x:v>Test Case</x:v>
      </x:c>
      <x:c r="C52" s="76" t="str">
        <x:v>AE-SIGNUP-004 - Verify that account creation is prevented when required fields are left blank</x:v>
      </x:c>
      <x:c r="D52" s="76" t="str">
        <x:v>Done</x:v>
      </x:c>
      <x:c r="E52" s="76" t="str">
        <x:v>High</x:v>
      </x:c>
      <x:c r="F52" s="76" t="str">
        <x:v>Kevin Mcmahon</x:v>
      </x:c>
      <x:c r="G52" s="76" t="str"/>
      <x:c r="H52" s="76" t="str">
        <x:v>AE-SIGNUP-004</x:v>
      </x:c>
      <x:c r="I52" s="76" t="str"/>
      <x:c r="J52" s="76" t="str">
        <x:v>Pass</x:v>
      </x:c>
      <x:c r="K52" s="76" t="str">
        <x:v>Manual</x:v>
      </x:c>
      <x:c r="L52" s="76" t="str">
        <x:v>AEQA-28</x:v>
      </x:c>
      <x:c r="M52" s="76" t="str"/>
      <x:c r="N52" s="76" t="str">
        <x:v>10/Aug/26 7:58 PM</x:v>
      </x:c>
    </x:row>
    <x:row r="53" ht="31.5" customHeight="1">
      <x:c r="A53" s="76" t="str">
        <x:v>AEQA-49</x:v>
      </x:c>
      <x:c r="B53" s="76" t="str">
        <x:v>Test Case</x:v>
      </x:c>
      <x:c r="C53" s="76" t="str">
        <x:v>AE-LOGIN-001 - Verify that a registered user can login using valid credentials</x:v>
      </x:c>
      <x:c r="D53" s="76" t="str">
        <x:v>Done</x:v>
      </x:c>
      <x:c r="E53" s="76" t="str">
        <x:v>Highest</x:v>
      </x:c>
      <x:c r="F53" s="76" t="str">
        <x:v>Kevin Mcmahon</x:v>
      </x:c>
      <x:c r="G53" s="76" t="str"/>
      <x:c r="H53" s="76" t="str">
        <x:v>AE-LOGIN-001</x:v>
      </x:c>
      <x:c r="I53" s="76" t="str"/>
      <x:c r="J53" s="76" t="str">
        <x:v>Pass</x:v>
      </x:c>
      <x:c r="K53" s="76" t="str">
        <x:v>Manual</x:v>
      </x:c>
      <x:c r="L53" s="76" t="str">
        <x:v>AEQA-2</x:v>
      </x:c>
      <x:c r="M53" s="76" t="str"/>
      <x:c r="N53" s="76" t="str">
        <x:v>10/Aug/26 7:59 PM</x:v>
      </x:c>
    </x:row>
    <x:row r="54" ht="31.5" customHeight="1">
      <x:c r="A54" s="76" t="str">
        <x:v>AEQA-50</x:v>
      </x:c>
      <x:c r="B54" s="76" t="str">
        <x:v>Test Case</x:v>
      </x:c>
      <x:c r="C54" s="76" t="str">
        <x:v>AE-LOGIN-002 - Verify that the login form rejects SQL injection input without authenticating the user</x:v>
      </x:c>
      <x:c r="D54" s="76" t="str">
        <x:v>Done</x:v>
      </x:c>
      <x:c r="E54" s="76" t="str">
        <x:v>High</x:v>
      </x:c>
      <x:c r="F54" s="76" t="str">
        <x:v>Kevin Mcmahon</x:v>
      </x:c>
      <x:c r="G54" s="76" t="str"/>
      <x:c r="H54" s="76" t="str">
        <x:v>AE-LOGIN-002</x:v>
      </x:c>
      <x:c r="I54" s="76" t="str"/>
      <x:c r="J54" s="76" t="str">
        <x:v>Pass</x:v>
      </x:c>
      <x:c r="K54" s="76" t="str">
        <x:v>Manual</x:v>
      </x:c>
      <x:c r="L54" s="76" t="str">
        <x:v>AEQA-29</x:v>
      </x:c>
      <x:c r="M54" s="76" t="str"/>
      <x:c r="N54" s="76" t="str">
        <x:v>10/Aug/26 7:59 PM</x:v>
      </x:c>
    </x:row>
    <x:row r="55" ht="31.5" customHeight="1">
      <x:c r="A55" s="76" t="str">
        <x:v>AEQA-51</x:v>
      </x:c>
      <x:c r="B55" s="76" t="str">
        <x:v>Test Case</x:v>
      </x:c>
      <x:c r="C55" s="76" t="str">
        <x:v>AE-LOGIN-003 - Verify that login is rejected when a registered email address is entered with an incorrect password</x:v>
      </x:c>
      <x:c r="D55" s="76" t="str">
        <x:v>Done</x:v>
      </x:c>
      <x:c r="E55" s="76" t="str">
        <x:v>High</x:v>
      </x:c>
      <x:c r="F55" s="76" t="str">
        <x:v>Kevin Mcmahon</x:v>
      </x:c>
      <x:c r="G55" s="76" t="str"/>
      <x:c r="H55" s="76" t="str">
        <x:v>AE-LOGIN-003</x:v>
      </x:c>
      <x:c r="I55" s="76" t="str"/>
      <x:c r="J55" s="76" t="str">
        <x:v>Pass</x:v>
      </x:c>
      <x:c r="K55" s="76" t="str">
        <x:v>Manual</x:v>
      </x:c>
      <x:c r="L55" s="76" t="str">
        <x:v>AEQA-3</x:v>
      </x:c>
      <x:c r="M55" s="76" t="str"/>
      <x:c r="N55" s="76" t="str">
        <x:v>10/Aug/26 7:59 PM</x:v>
      </x:c>
    </x:row>
    <x:row r="56" ht="31.5" customHeight="1">
      <x:c r="A56" s="76" t="str">
        <x:v>AEQA-52</x:v>
      </x:c>
      <x:c r="B56" s="76" t="str">
        <x:v>Test Case</x:v>
      </x:c>
      <x:c r="C56" s="76" t="str">
        <x:v>AE-LOGOUT-001 - Verify that an authenticated user can successfully logout</x:v>
      </x:c>
      <x:c r="D56" s="76" t="str">
        <x:v>Backlog</x:v>
      </x:c>
      <x:c r="E56" s="76" t="str">
        <x:v>High</x:v>
      </x:c>
      <x:c r="F56" s="76" t="str">
        <x:v>Kevin Mcmahon</x:v>
      </x:c>
      <x:c r="G56" s="76" t="str"/>
      <x:c r="H56" s="76" t="str">
        <x:v>AE-LOGOUT-001</x:v>
      </x:c>
      <x:c r="I56" s="76" t="str"/>
      <x:c r="J56" s="76" t="str">
        <x:v>Fail</x:v>
      </x:c>
      <x:c r="K56" s="76" t="str">
        <x:v>Manual</x:v>
      </x:c>
      <x:c r="L56" s="76" t="str">
        <x:v>AEQA-4</x:v>
      </x:c>
      <x:c r="M56" s="76" t="str"/>
      <x:c r="N56" s="76" t="str">
        <x:v>10/Aug/26 7:59 PM</x:v>
      </x:c>
    </x:row>
    <x:row r="57" ht="31.5" customHeight="1">
      <x:c r="A57" s="76" t="str">
        <x:v>AEQA-53</x:v>
      </x:c>
      <x:c r="B57" s="76" t="str">
        <x:v>Test Case</x:v>
      </x:c>
      <x:c r="C57" s="76" t="str">
        <x:v>AE-ACCOUNT-001 - Verify that an authenticated user can permanently delete their account</x:v>
      </x:c>
      <x:c r="D57" s="76" t="str">
        <x:v>Done</x:v>
      </x:c>
      <x:c r="E57" s="76" t="str">
        <x:v>Highest</x:v>
      </x:c>
      <x:c r="F57" s="76" t="str">
        <x:v>Kevin Mcmahon</x:v>
      </x:c>
      <x:c r="G57" s="76" t="str"/>
      <x:c r="H57" s="76" t="str">
        <x:v>AE-ACCOUNT-001</x:v>
      </x:c>
      <x:c r="I57" s="76" t="str"/>
      <x:c r="J57" s="76" t="str">
        <x:v>Pass</x:v>
      </x:c>
      <x:c r="K57" s="76" t="str">
        <x:v>Manual</x:v>
      </x:c>
      <x:c r="L57" s="76" t="str">
        <x:v>AEQA-1
AEQA-2</x:v>
      </x:c>
      <x:c r="M57" s="76" t="str"/>
      <x:c r="N57" s="76" t="str">
        <x:v>10/Aug/26 7:59 PM</x:v>
      </x:c>
    </x:row>
    <x:row r="58" ht="31.5" customHeight="1">
      <x:c r="A58" s="76" t="str">
        <x:v>AEQA-54</x:v>
      </x:c>
      <x:c r="B58" s="76" t="str">
        <x:v>Test Case</x:v>
      </x:c>
      <x:c r="C58" s="76" t="str">
        <x:v>AE-ACCOUNT-002 - Verify that a registered account remains active and accessible after the user logs out</x:v>
      </x:c>
      <x:c r="D58" s="76" t="str">
        <x:v>Done</x:v>
      </x:c>
      <x:c r="E58" s="76" t="str">
        <x:v>High</x:v>
      </x:c>
      <x:c r="F58" s="76" t="str">
        <x:v>Kevin Mcmahon</x:v>
      </x:c>
      <x:c r="G58" s="76" t="str"/>
      <x:c r="H58" s="76" t="str">
        <x:v>AE-ACCOUNT-002</x:v>
      </x:c>
      <x:c r="I58" s="76" t="str"/>
      <x:c r="J58" s="76" t="str">
        <x:v>Pass</x:v>
      </x:c>
      <x:c r="K58" s="76" t="str">
        <x:v>Manual</x:v>
      </x:c>
      <x:c r="L58" s="76" t="str">
        <x:v>AEQA-30</x:v>
      </x:c>
      <x:c r="M58" s="76" t="str"/>
      <x:c r="N58" s="76" t="str">
        <x:v>10/Aug/26 7:59 PM</x:v>
      </x:c>
    </x:row>
    <x:row r="59" ht="31.5" customHeight="1">
      <x:c r="A59" s="76" t="str">
        <x:v>AEQA-55</x:v>
      </x:c>
      <x:c r="B59" s="76" t="str">
        <x:v>Test Case</x:v>
      </x:c>
      <x:c r="C59" s="76" t="str">
        <x:v>AE-SIGNUP-005 - Verify that registration is rejected when an existing email address is used</x:v>
      </x:c>
      <x:c r="D59" s="76" t="str">
        <x:v>Done</x:v>
      </x:c>
      <x:c r="E59" s="76" t="str">
        <x:v>High</x:v>
      </x:c>
      <x:c r="F59" s="76" t="str">
        <x:v>Kevin Mcmahon</x:v>
      </x:c>
      <x:c r="G59" s="76" t="str"/>
      <x:c r="H59" s="76" t="str">
        <x:v>AE-SIGNUP-005</x:v>
      </x:c>
      <x:c r="I59" s="76" t="str"/>
      <x:c r="J59" s="76" t="str">
        <x:v>Pass</x:v>
      </x:c>
      <x:c r="K59" s="76" t="str">
        <x:v>Manual</x:v>
      </x:c>
      <x:c r="L59" s="76" t="str">
        <x:v>AEQA-5</x:v>
      </x:c>
      <x:c r="M59" s="76" t="str"/>
      <x:c r="N59" s="76" t="str">
        <x:v>10/Aug/26 7:59 PM</x:v>
      </x:c>
    </x:row>
    <x:row r="60" ht="31.5" customHeight="1">
      <x:c r="A60" s="76" t="str">
        <x:v>AEQA-56</x:v>
      </x:c>
      <x:c r="B60" s="76" t="str">
        <x:v>Test Case</x:v>
      </x:c>
      <x:c r="C60" s="76" t="str">
        <x:v>AE-LOGIN-004 - Verify that login is rejected when an unregistered email address is entered</x:v>
      </x:c>
      <x:c r="D60" s="76" t="str">
        <x:v>Done</x:v>
      </x:c>
      <x:c r="E60" s="76" t="str">
        <x:v>High</x:v>
      </x:c>
      <x:c r="F60" s="76" t="str">
        <x:v>Kevin Mcmahon</x:v>
      </x:c>
      <x:c r="G60" s="76" t="str"/>
      <x:c r="H60" s="76" t="str">
        <x:v>AE-LOGIN-004</x:v>
      </x:c>
      <x:c r="I60" s="76" t="str"/>
      <x:c r="J60" s="76" t="str">
        <x:v>Pass</x:v>
      </x:c>
      <x:c r="K60" s="76" t="str">
        <x:v>Manual</x:v>
      </x:c>
      <x:c r="L60" s="76" t="str">
        <x:v>AEQA-3</x:v>
      </x:c>
      <x:c r="M60" s="76" t="str"/>
      <x:c r="N60" s="76" t="str">
        <x:v>10/Aug/26 7:59 PM</x:v>
      </x:c>
    </x:row>
    <x:row r="61" ht="31.5" customHeight="1">
      <x:c r="A61" s="76" t="str">
        <x:v>AEQA-57</x:v>
      </x:c>
      <x:c r="B61" s="76" t="str">
        <x:v>Test Case</x:v>
      </x:c>
      <x:c r="C61" s="76" t="str">
        <x:v>AE-PRODUCT-001 - Verify that the All Products page and product details display correctly</x:v>
      </x:c>
      <x:c r="D61" s="76" t="str">
        <x:v>Done</x:v>
      </x:c>
      <x:c r="E61" s="76" t="str">
        <x:v>High</x:v>
      </x:c>
      <x:c r="F61" s="76" t="str">
        <x:v>Kevin Mcmahon</x:v>
      </x:c>
      <x:c r="G61" s="76" t="str"/>
      <x:c r="H61" s="76" t="str">
        <x:v>AE-PRODUCT-001</x:v>
      </x:c>
      <x:c r="I61" s="76" t="str"/>
      <x:c r="J61" s="76" t="str">
        <x:v>Pass</x:v>
      </x:c>
      <x:c r="K61" s="76" t="str">
        <x:v>Manual</x:v>
      </x:c>
      <x:c r="L61" s="76" t="str">
        <x:v>AEQA-8</x:v>
      </x:c>
      <x:c r="M61" s="76" t="str"/>
      <x:c r="N61" s="76" t="str">
        <x:v>10/Aug/26 7:59 PM</x:v>
      </x:c>
    </x:row>
    <x:row r="62" ht="31.5" customHeight="1">
      <x:c r="A62" s="76" t="str">
        <x:v>AEQA-58</x:v>
      </x:c>
      <x:c r="B62" s="76" t="str">
        <x:v>Test Case</x:v>
      </x:c>
      <x:c r="C62" s="76" t="str">
        <x:v>AE-PRODUCT-002 - Verify that product search returns relevant products</x:v>
      </x:c>
      <x:c r="D62" s="76" t="str">
        <x:v>Done</x:v>
      </x:c>
      <x:c r="E62" s="76" t="str">
        <x:v>High</x:v>
      </x:c>
      <x:c r="F62" s="76" t="str">
        <x:v>Kevin Mcmahon</x:v>
      </x:c>
      <x:c r="G62" s="76" t="str"/>
      <x:c r="H62" s="76" t="str">
        <x:v>AE-PRODUCT-002</x:v>
      </x:c>
      <x:c r="I62" s="76" t="str"/>
      <x:c r="J62" s="76" t="str">
        <x:v>Pass</x:v>
      </x:c>
      <x:c r="K62" s="76" t="str">
        <x:v>Manual</x:v>
      </x:c>
      <x:c r="L62" s="76" t="str">
        <x:v>AEQA-9</x:v>
      </x:c>
      <x:c r="M62" s="76" t="str"/>
      <x:c r="N62" s="76" t="str">
        <x:v>10/Aug/26 7:59 PM</x:v>
      </x:c>
    </x:row>
    <x:row r="63" ht="31.5" customHeight="1">
      <x:c r="A63" s="76" t="str">
        <x:v>AEQA-59</x:v>
      </x:c>
      <x:c r="B63" s="76" t="str">
        <x:v>Test Case</x:v>
      </x:c>
      <x:c r="C63" s="76" t="str">
        <x:v>AE-CART-001 - Verify that two products can be added to the cart with correct prices, quantities, and totals</x:v>
      </x:c>
      <x:c r="D63" s="76" t="str">
        <x:v>Selected for Development</x:v>
      </x:c>
      <x:c r="E63" s="76" t="str">
        <x:v>Highest</x:v>
      </x:c>
      <x:c r="F63" s="76" t="str">
        <x:v>Kevin Mcmahon</x:v>
      </x:c>
      <x:c r="G63" s="76" t="str"/>
      <x:c r="H63" s="76" t="str">
        <x:v>AE-CART-001</x:v>
      </x:c>
      <x:c r="I63" s="76" t="str"/>
      <x:c r="J63" s="76" t="str">
        <x:v>Fail</x:v>
      </x:c>
      <x:c r="K63" s="76" t="str">
        <x:v>Manual</x:v>
      </x:c>
      <x:c r="L63" s="76" t="str">
        <x:v>AEQA-12</x:v>
      </x:c>
      <x:c r="M63" s="76" t="str"/>
      <x:c r="N63" s="76" t="str">
        <x:v>10/Aug/26 8:34 PM</x:v>
      </x:c>
    </x:row>
    <x:row r="64" ht="31.5" customHeight="1">
      <x:c r="A64" s="76" t="str">
        <x:v>AEQA-60</x:v>
      </x:c>
      <x:c r="B64" s="76" t="str">
        <x:v>Test Case</x:v>
      </x:c>
      <x:c r="C64" s="76" t="str">
        <x:v>AE-CART-002 - Verify that a product is displayed in the cart with the selected quantity</x:v>
      </x:c>
      <x:c r="D64" s="76" t="str">
        <x:v>Done</x:v>
      </x:c>
      <x:c r="E64" s="76" t="str">
        <x:v>High</x:v>
      </x:c>
      <x:c r="F64" s="76" t="str">
        <x:v>Kevin Mcmahon</x:v>
      </x:c>
      <x:c r="G64" s="76" t="str"/>
      <x:c r="H64" s="76" t="str">
        <x:v>AE-CART-002</x:v>
      </x:c>
      <x:c r="I64" s="76" t="str"/>
      <x:c r="J64" s="76" t="str">
        <x:v>Pass</x:v>
      </x:c>
      <x:c r="K64" s="76" t="str">
        <x:v>Manual</x:v>
      </x:c>
      <x:c r="L64" s="76" t="str">
        <x:v>AEQA-13</x:v>
      </x:c>
      <x:c r="M64" s="76" t="str"/>
      <x:c r="N64" s="76" t="str">
        <x:v>10/Aug/26 7:59 PM</x:v>
      </x:c>
    </x:row>
    <x:row r="65" ht="31.5" customHeight="1">
      <x:c r="A65" s="76" t="str">
        <x:v>AEQA-61</x:v>
      </x:c>
      <x:c r="B65" s="76" t="str">
        <x:v>Test Case</x:v>
      </x:c>
      <x:c r="C65" s="76" t="str">
        <x:v>AE-CART-003 - Verify that a product can be removed from the cart</x:v>
      </x:c>
      <x:c r="D65" s="76" t="str">
        <x:v>Done</x:v>
      </x:c>
      <x:c r="E65" s="76" t="str">
        <x:v>High</x:v>
      </x:c>
      <x:c r="F65" s="76" t="str">
        <x:v>Kevin Mcmahon</x:v>
      </x:c>
      <x:c r="G65" s="76" t="str"/>
      <x:c r="H65" s="76" t="str">
        <x:v>AE-CART-003</x:v>
      </x:c>
      <x:c r="I65" s="76" t="str"/>
      <x:c r="J65" s="76" t="str">
        <x:v>Pass</x:v>
      </x:c>
      <x:c r="K65" s="76" t="str">
        <x:v>Manual</x:v>
      </x:c>
      <x:c r="L65" s="76" t="str">
        <x:v>AEQA-17</x:v>
      </x:c>
      <x:c r="M65" s="76" t="str"/>
      <x:c r="N65" s="76" t="str">
        <x:v>10/Aug/26 7:59 PM</x:v>
      </x:c>
    </x:row>
    <x:row r="66" ht="31.5" customHeight="1">
      <x:c r="A66" s="76" t="str">
        <x:v>AEQA-62</x:v>
      </x:c>
      <x:c r="B66" s="76" t="str">
        <x:v>Test Case</x:v>
      </x:c>
      <x:c r="C66" s="76" t="str">
        <x:v>AE-CONTACT-001 - Verify that a logged-out user can submit the Contact Us form successfully with a file attachment</x:v>
      </x:c>
      <x:c r="D66" s="76" t="str">
        <x:v>Done</x:v>
      </x:c>
      <x:c r="E66" s="76" t="str">
        <x:v>Medium</x:v>
      </x:c>
      <x:c r="F66" s="76" t="str">
        <x:v>Kevin Mcmahon</x:v>
      </x:c>
      <x:c r="G66" s="76" t="str"/>
      <x:c r="H66" s="76" t="str">
        <x:v>AE-CONTACT-001</x:v>
      </x:c>
      <x:c r="I66" s="76" t="str"/>
      <x:c r="J66" s="76" t="str">
        <x:v>Pass</x:v>
      </x:c>
      <x:c r="K66" s="76" t="str">
        <x:v>Manual</x:v>
      </x:c>
      <x:c r="L66" s="76" t="str">
        <x:v>AEQA-6</x:v>
      </x:c>
      <x:c r="M66" s="76" t="str"/>
      <x:c r="N66" s="76" t="str">
        <x:v>10/Aug/26 7:59 PM</x:v>
      </x:c>
    </x:row>
    <x:row r="67" ht="31.5" customHeight="1">
      <x:c r="A67" s="76" t="str">
        <x:v>AEQA-63</x:v>
      </x:c>
      <x:c r="B67" s="76" t="str">
        <x:v>Test Case</x:v>
      </x:c>
      <x:c r="C67" s="76" t="str">
        <x:v>AE-NAV-001 - Verify that a logged-out user can navigate to the Test Cases page successfully</x:v>
      </x:c>
      <x:c r="D67" s="76" t="str">
        <x:v>Done</x:v>
      </x:c>
      <x:c r="E67" s="76" t="str">
        <x:v>Low</x:v>
      </x:c>
      <x:c r="F67" s="76" t="str">
        <x:v>Kevin Mcmahon</x:v>
      </x:c>
      <x:c r="G67" s="76" t="str"/>
      <x:c r="H67" s="76" t="str">
        <x:v>AE-NAV-001</x:v>
      </x:c>
      <x:c r="I67" s="76" t="str"/>
      <x:c r="J67" s="76" t="str">
        <x:v>Pass</x:v>
      </x:c>
      <x:c r="K67" s="76" t="str">
        <x:v>Manual</x:v>
      </x:c>
      <x:c r="L67" s="76" t="str">
        <x:v>AEQA-7</x:v>
      </x:c>
      <x:c r="M67" s="76" t="str"/>
      <x:c r="N67" s="76" t="str">
        <x:v>10/Aug/26 7:59 PM</x:v>
      </x:c>
    </x:row>
    <x:row r="68" ht="31.5" customHeight="1">
      <x:c r="A68" s="76" t="str">
        <x:v>AEQA-64</x:v>
      </x:c>
      <x:c r="B68" s="76" t="str">
        <x:v>Test Case</x:v>
      </x:c>
      <x:c r="C68" s="76" t="str">
        <x:v>AE-SUB-001 - Verify that a logged-out user can subscribe successfully from the home-page footer</x:v>
      </x:c>
      <x:c r="D68" s="76" t="str">
        <x:v>Done</x:v>
      </x:c>
      <x:c r="E68" s="76" t="str">
        <x:v>Medium</x:v>
      </x:c>
      <x:c r="F68" s="76" t="str">
        <x:v>Kevin Mcmahon</x:v>
      </x:c>
      <x:c r="G68" s="76" t="str"/>
      <x:c r="H68" s="76" t="str">
        <x:v>AE-SUB-001</x:v>
      </x:c>
      <x:c r="I68" s="76" t="str"/>
      <x:c r="J68" s="76" t="str">
        <x:v>Pass</x:v>
      </x:c>
      <x:c r="K68" s="76" t="str">
        <x:v>Manual</x:v>
      </x:c>
      <x:c r="L68" s="76" t="str">
        <x:v>AEQA-10</x:v>
      </x:c>
      <x:c r="M68" s="76" t="str"/>
      <x:c r="N68" s="76" t="str">
        <x:v>10/Aug/26 7:59 PM</x:v>
      </x:c>
    </x:row>
    <x:row r="69" ht="31.5" customHeight="1">
      <x:c r="A69" s="76" t="str">
        <x:v>AEQA-65</x:v>
      </x:c>
      <x:c r="B69" s="76" t="str">
        <x:v>Test Case</x:v>
      </x:c>
      <x:c r="C69" s="76" t="str">
        <x:v>AE-SUB-002 - Verify that a logged-out user can subscribe successfully from the cart-page footer</x:v>
      </x:c>
      <x:c r="D69" s="76" t="str">
        <x:v>Done</x:v>
      </x:c>
      <x:c r="E69" s="76" t="str">
        <x:v>Medium</x:v>
      </x:c>
      <x:c r="F69" s="76" t="str">
        <x:v>Kevin Mcmahon</x:v>
      </x:c>
      <x:c r="G69" s="76" t="str"/>
      <x:c r="H69" s="76" t="str">
        <x:v>AE-SUB-002</x:v>
      </x:c>
      <x:c r="I69" s="76" t="str"/>
      <x:c r="J69" s="76" t="str">
        <x:v>Pass</x:v>
      </x:c>
      <x:c r="K69" s="76" t="str">
        <x:v>Manual</x:v>
      </x:c>
      <x:c r="L69" s="76" t="str">
        <x:v>AEQA-11</x:v>
      </x:c>
      <x:c r="M69" s="76" t="str"/>
      <x:c r="N69" s="76" t="str">
        <x:v>10/Aug/26 7:59 PM</x:v>
      </x:c>
    </x:row>
    <x:row r="70" ht="31.5" customHeight="1">
      <x:c r="A70" s="76" t="str">
        <x:v>AEQA-66</x:v>
      </x:c>
      <x:c r="B70" s="76" t="str">
        <x:v>Test Case</x:v>
      </x:c>
      <x:c r="C70" s="76" t="str">
        <x:v>API-PRODUCT-001 - Verify retrieval of the complete products list</x:v>
      </x:c>
      <x:c r="D70" s="76" t="str">
        <x:v>Done</x:v>
      </x:c>
      <x:c r="E70" s="76" t="str">
        <x:v>High</x:v>
      </x:c>
      <x:c r="F70" s="76" t="str">
        <x:v>Kevin Mcmahon</x:v>
      </x:c>
      <x:c r="G70" s="76" t="str"/>
      <x:c r="H70" s="76" t="str">
        <x:v>API-PRODUCT-001</x:v>
      </x:c>
      <x:c r="I70" s="76" t="str"/>
      <x:c r="J70" s="76" t="str">
        <x:v>Pass</x:v>
      </x:c>
      <x:c r="K70" s="76" t="str">
        <x:v>Manual</x:v>
      </x:c>
      <x:c r="L70" s="76" t="str">
        <x:v>AEQA-31</x:v>
      </x:c>
      <x:c r="M70" s="76" t="str"/>
      <x:c r="N70" s="76" t="str">
        <x:v>10/Aug/26 7:59 PM</x:v>
      </x:c>
    </x:row>
    <x:row r="71" ht="31.5" customHeight="1">
      <x:c r="A71" s="76" t="str">
        <x:v>AEQA-67</x:v>
      </x:c>
      <x:c r="B71" s="76" t="str">
        <x:v>Test Case</x:v>
      </x:c>
      <x:c r="C71" s="76" t="str">
        <x:v>API-PRODUCT-002 - Verify POST is rejected for the products-list endpoint</x:v>
      </x:c>
      <x:c r="D71" s="76" t="str">
        <x:v>Done</x:v>
      </x:c>
      <x:c r="E71" s="76" t="str">
        <x:v>Medium</x:v>
      </x:c>
      <x:c r="F71" s="76" t="str">
        <x:v>Kevin Mcmahon</x:v>
      </x:c>
      <x:c r="G71" s="76" t="str"/>
      <x:c r="H71" s="76" t="str">
        <x:v>API-PRODUCT-002</x:v>
      </x:c>
      <x:c r="I71" s="76" t="str"/>
      <x:c r="J71" s="76" t="str">
        <x:v>Pass</x:v>
      </x:c>
      <x:c r="K71" s="76" t="str">
        <x:v>Manual</x:v>
      </x:c>
      <x:c r="L71" s="76" t="str">
        <x:v>AEQA-32</x:v>
      </x:c>
      <x:c r="M71" s="76" t="str"/>
      <x:c r="N71" s="76" t="str">
        <x:v>10/Aug/26 8:00 PM</x:v>
      </x:c>
    </x:row>
    <x:row r="72" ht="31.5" customHeight="1">
      <x:c r="A72" s="76" t="str">
        <x:v>AEQA-68</x:v>
      </x:c>
      <x:c r="B72" s="76" t="str">
        <x:v>Test Case</x:v>
      </x:c>
      <x:c r="C72" s="76" t="str">
        <x:v>API-BRAND-001 - Verify retrieval of the complete brands list</x:v>
      </x:c>
      <x:c r="D72" s="76" t="str">
        <x:v>Done</x:v>
      </x:c>
      <x:c r="E72" s="76" t="str">
        <x:v>High</x:v>
      </x:c>
      <x:c r="F72" s="76" t="str">
        <x:v>Kevin Mcmahon</x:v>
      </x:c>
      <x:c r="G72" s="76" t="str"/>
      <x:c r="H72" s="76" t="str">
        <x:v>API-BRAND-001</x:v>
      </x:c>
      <x:c r="I72" s="76" t="str"/>
      <x:c r="J72" s="76" t="str">
        <x:v>Pass</x:v>
      </x:c>
      <x:c r="K72" s="76" t="str">
        <x:v>Manual</x:v>
      </x:c>
      <x:c r="L72" s="76" t="str">
        <x:v>AEQA-33</x:v>
      </x:c>
      <x:c r="M72" s="76" t="str"/>
      <x:c r="N72" s="76" t="str">
        <x:v>10/Aug/26 8:00 PM</x:v>
      </x:c>
    </x:row>
    <x:row r="73" ht="31.5" customHeight="1">
      <x:c r="A73" s="76" t="str">
        <x:v>AEQA-69</x:v>
      </x:c>
      <x:c r="B73" s="76" t="str">
        <x:v>Test Case</x:v>
      </x:c>
      <x:c r="C73" s="76" t="str">
        <x:v>API-BRAND-002 - Verify PUT is rejected for the brands-list endpoint</x:v>
      </x:c>
      <x:c r="D73" s="76" t="str">
        <x:v>Done</x:v>
      </x:c>
      <x:c r="E73" s="76" t="str">
        <x:v>Medium</x:v>
      </x:c>
      <x:c r="F73" s="76" t="str">
        <x:v>Kevin Mcmahon</x:v>
      </x:c>
      <x:c r="G73" s="76" t="str"/>
      <x:c r="H73" s="76" t="str">
        <x:v>API-BRAND-002</x:v>
      </x:c>
      <x:c r="I73" s="76" t="str"/>
      <x:c r="J73" s="76" t="str">
        <x:v>Pass</x:v>
      </x:c>
      <x:c r="K73" s="76" t="str">
        <x:v>Manual</x:v>
      </x:c>
      <x:c r="L73" s="76" t="str">
        <x:v>AEQA-34</x:v>
      </x:c>
      <x:c r="M73" s="76" t="str"/>
      <x:c r="N73" s="76" t="str">
        <x:v>10/Aug/26 8:00 PM</x:v>
      </x:c>
    </x:row>
    <x:row r="74" ht="31.5" customHeight="1">
      <x:c r="A74" s="76" t="str">
        <x:v>AEQA-70</x:v>
      </x:c>
      <x:c r="B74" s="76" t="str">
        <x:v>Test Case</x:v>
      </x:c>
      <x:c r="C74" s="76" t="str">
        <x:v>API-SEARCH-001 - Verify products can be searched using a valid search_product value</x:v>
      </x:c>
      <x:c r="D74" s="76" t="str">
        <x:v>Done</x:v>
      </x:c>
      <x:c r="E74" s="76" t="str">
        <x:v>High</x:v>
      </x:c>
      <x:c r="F74" s="76" t="str">
        <x:v>Kevin Mcmahon</x:v>
      </x:c>
      <x:c r="G74" s="76" t="str"/>
      <x:c r="H74" s="76" t="str">
        <x:v>API-SEARCH-001</x:v>
      </x:c>
      <x:c r="I74" s="76" t="str"/>
      <x:c r="J74" s="76" t="str">
        <x:v>Pass</x:v>
      </x:c>
      <x:c r="K74" s="76" t="str">
        <x:v>Manual</x:v>
      </x:c>
      <x:c r="L74" s="76" t="str">
        <x:v>AEQA-35</x:v>
      </x:c>
      <x:c r="M74" s="76" t="str"/>
      <x:c r="N74" s="76" t="str">
        <x:v>10/Aug/26 8:00 PM</x:v>
      </x:c>
    </x:row>
    <x:row r="75" ht="31.5" customHeight="1">
      <x:c r="A75" s="76" t="str">
        <x:v>AEQA-71</x:v>
      </x:c>
      <x:c r="B75" s="76" t="str">
        <x:v>Test Case</x:v>
      </x:c>
      <x:c r="C75" s="76" t="str">
        <x:v>API-SEARCH-002 - Verify search validation when search_product value is omitted</x:v>
      </x:c>
      <x:c r="D75" s="76" t="str">
        <x:v>Done</x:v>
      </x:c>
      <x:c r="E75" s="76" t="str">
        <x:v>High</x:v>
      </x:c>
      <x:c r="F75" s="76" t="str">
        <x:v>Kevin Mcmahon</x:v>
      </x:c>
      <x:c r="G75" s="76" t="str"/>
      <x:c r="H75" s="76" t="str">
        <x:v>API-SEARCH-002</x:v>
      </x:c>
      <x:c r="I75" s="76" t="str"/>
      <x:c r="J75" s="76" t="str">
        <x:v>Pass</x:v>
      </x:c>
      <x:c r="K75" s="76" t="str">
        <x:v>Manual</x:v>
      </x:c>
      <x:c r="L75" s="76" t="str">
        <x:v>AEQA-36</x:v>
      </x:c>
      <x:c r="M75" s="76" t="str"/>
      <x:c r="N75" s="76" t="str">
        <x:v>10/Aug/26 8:00 PM</x:v>
      </x:c>
    </x:row>
    <x:row r="76" ht="31.5" customHeight="1">
      <x:c r="A76" s="76" t="str">
        <x:v>AEQA-72</x:v>
      </x:c>
      <x:c r="B76" s="76" t="str">
        <x:v>Test Case</x:v>
      </x:c>
      <x:c r="C76" s="76" t="str">
        <x:v>API-AUTH-001 - Verify login API with valid credentials</x:v>
      </x:c>
      <x:c r="D76" s="76" t="str">
        <x:v>Done</x:v>
      </x:c>
      <x:c r="E76" s="76" t="str">
        <x:v>Highest</x:v>
      </x:c>
      <x:c r="F76" s="76" t="str">
        <x:v>Kevin Mcmahon</x:v>
      </x:c>
      <x:c r="G76" s="76" t="str"/>
      <x:c r="H76" s="76" t="str">
        <x:v>API-AUTH-001</x:v>
      </x:c>
      <x:c r="I76" s="76" t="str"/>
      <x:c r="J76" s="76" t="str">
        <x:v>Pass</x:v>
      </x:c>
      <x:c r="K76" s="76" t="str">
        <x:v>Manual</x:v>
      </x:c>
      <x:c r="L76" s="76" t="str">
        <x:v>AEQA-37</x:v>
      </x:c>
      <x:c r="M76" s="76" t="str"/>
      <x:c r="N76" s="76" t="str">
        <x:v>10/Aug/26 8:00 PM</x:v>
      </x:c>
    </x:row>
    <x:row r="77" ht="31.5" customHeight="1">
      <x:c r="A77" s="76" t="str">
        <x:v>AEQA-73</x:v>
      </x:c>
      <x:c r="B77" s="76" t="str">
        <x:v>Test Case</x:v>
      </x:c>
      <x:c r="C77" s="76" t="str">
        <x:v>API-AUTH-002 - Verify login validation when email is omitted</x:v>
      </x:c>
      <x:c r="D77" s="76" t="str">
        <x:v>Done</x:v>
      </x:c>
      <x:c r="E77" s="76" t="str">
        <x:v>High</x:v>
      </x:c>
      <x:c r="F77" s="76" t="str">
        <x:v>Kevin Mcmahon</x:v>
      </x:c>
      <x:c r="G77" s="76" t="str"/>
      <x:c r="H77" s="76" t="str">
        <x:v>API-AUTH-002</x:v>
      </x:c>
      <x:c r="I77" s="76" t="str"/>
      <x:c r="J77" s="76" t="str">
        <x:v>Pass</x:v>
      </x:c>
      <x:c r="K77" s="76" t="str">
        <x:v>Manual</x:v>
      </x:c>
      <x:c r="L77" s="76" t="str">
        <x:v>AEQA-38</x:v>
      </x:c>
      <x:c r="M77" s="76" t="str"/>
      <x:c r="N77" s="76" t="str">
        <x:v>10/Aug/26 8:00 PM</x:v>
      </x:c>
    </x:row>
    <x:row r="78" ht="31.5" customHeight="1">
      <x:c r="A78" s="76" t="str">
        <x:v>AEQA-74</x:v>
      </x:c>
      <x:c r="B78" s="76" t="str">
        <x:v>Test Case</x:v>
      </x:c>
      <x:c r="C78" s="76" t="str">
        <x:v>API-AUTH-003 - Verify DELETE is rejected for the login-verification endpoint</x:v>
      </x:c>
      <x:c r="D78" s="76" t="str">
        <x:v>Done</x:v>
      </x:c>
      <x:c r="E78" s="76" t="str">
        <x:v>Medium</x:v>
      </x:c>
      <x:c r="F78" s="76" t="str">
        <x:v>Kevin Mcmahon</x:v>
      </x:c>
      <x:c r="G78" s="76" t="str"/>
      <x:c r="H78" s="76" t="str">
        <x:v>API-AUTH-003</x:v>
      </x:c>
      <x:c r="I78" s="76" t="str"/>
      <x:c r="J78" s="76" t="str">
        <x:v>Pass</x:v>
      </x:c>
      <x:c r="K78" s="76" t="str">
        <x:v>Manual</x:v>
      </x:c>
      <x:c r="L78" s="76" t="str">
        <x:v>AEQA-39</x:v>
      </x:c>
      <x:c r="M78" s="76" t="str"/>
      <x:c r="N78" s="76" t="str">
        <x:v>10/Aug/26 8:00 PM</x:v>
      </x:c>
    </x:row>
    <x:row r="79" ht="31.5" customHeight="1">
      <x:c r="A79" s="76" t="str">
        <x:v>AEQA-75</x:v>
      </x:c>
      <x:c r="B79" s="76" t="str">
        <x:v>Test Case</x:v>
      </x:c>
      <x:c r="C79" s="76" t="str">
        <x:v>API-AUTH-004 - Verify login API rejects invalid credentials</x:v>
      </x:c>
      <x:c r="D79" s="76" t="str">
        <x:v>Done</x:v>
      </x:c>
      <x:c r="E79" s="76" t="str">
        <x:v>High</x:v>
      </x:c>
      <x:c r="F79" s="76" t="str">
        <x:v>Kevin Mcmahon</x:v>
      </x:c>
      <x:c r="G79" s="76" t="str"/>
      <x:c r="H79" s="76" t="str">
        <x:v>API-AUTH-004</x:v>
      </x:c>
      <x:c r="I79" s="76" t="str"/>
      <x:c r="J79" s="76" t="str">
        <x:v>Pass</x:v>
      </x:c>
      <x:c r="K79" s="76" t="str">
        <x:v>Manual</x:v>
      </x:c>
      <x:c r="L79" s="76" t="str">
        <x:v>AEQA-40</x:v>
      </x:c>
      <x:c r="M79" s="76" t="str"/>
      <x:c r="N79" s="76" t="str">
        <x:v>10/Aug/26 8:00 PM</x:v>
      </x:c>
    </x:row>
    <x:row r="80" ht="31.5" customHeight="1">
      <x:c r="A80" s="76" t="str">
        <x:v>AEQA-76</x:v>
      </x:c>
      <x:c r="B80" s="76" t="str">
        <x:v>Test Case</x:v>
      </x:c>
      <x:c r="C80" s="76" t="str">
        <x:v>API-ACCOUNT-001 - Verify a user account can be created through the API</x:v>
      </x:c>
      <x:c r="D80" s="76" t="str">
        <x:v>Done</x:v>
      </x:c>
      <x:c r="E80" s="76" t="str">
        <x:v>Highest</x:v>
      </x:c>
      <x:c r="F80" s="76" t="str">
        <x:v>Kevin Mcmahon</x:v>
      </x:c>
      <x:c r="G80" s="76" t="str"/>
      <x:c r="H80" s="76" t="str">
        <x:v>API-ACCOUNT-001</x:v>
      </x:c>
      <x:c r="I80" s="76" t="str"/>
      <x:c r="J80" s="76" t="str">
        <x:v>Pass</x:v>
      </x:c>
      <x:c r="K80" s="76" t="str">
        <x:v>Manual</x:v>
      </x:c>
      <x:c r="L80" s="76" t="str">
        <x:v>AEQA-41</x:v>
      </x:c>
      <x:c r="M80" s="76" t="str"/>
      <x:c r="N80" s="76" t="str">
        <x:v>10/Aug/26 8:00 PM</x:v>
      </x:c>
    </x:row>
    <x:row r="81" ht="31.5" customHeight="1">
      <x:c r="A81" s="76" t="str">
        <x:v>AEQA-77</x:v>
      </x:c>
      <x:c r="B81" s="76" t="str">
        <x:v>Test Case</x:v>
      </x:c>
      <x:c r="C81" s="76" t="str">
        <x:v>API-ACCOUNT-002 - Verify a user account can be deleted through the API</x:v>
      </x:c>
      <x:c r="D81" s="76" t="str">
        <x:v>Done</x:v>
      </x:c>
      <x:c r="E81" s="76" t="str">
        <x:v>Highest</x:v>
      </x:c>
      <x:c r="F81" s="76" t="str">
        <x:v>Kevin Mcmahon</x:v>
      </x:c>
      <x:c r="G81" s="76" t="str"/>
      <x:c r="H81" s="76" t="str">
        <x:v>API-ACCOUNT-002</x:v>
      </x:c>
      <x:c r="I81" s="76" t="str"/>
      <x:c r="J81" s="76" t="str">
        <x:v>Pass</x:v>
      </x:c>
      <x:c r="K81" s="76" t="str">
        <x:v>Manual</x:v>
      </x:c>
      <x:c r="L81" s="76" t="str">
        <x:v>AEQA-42</x:v>
      </x:c>
      <x:c r="M81" s="76" t="str"/>
      <x:c r="N81" s="76" t="str">
        <x:v>10/Aug/26 8:00 PM</x:v>
      </x:c>
    </x:row>
    <x:row r="82" ht="31.5" customHeight="1">
      <x:c r="A82" s="76" t="str">
        <x:v>AEQA-78</x:v>
      </x:c>
      <x:c r="B82" s="76" t="str">
        <x:v>Test Case</x:v>
      </x:c>
      <x:c r="C82" s="76" t="str">
        <x:v>API-ACCOUNT-003 - Verify a user account can be updated through the API</x:v>
      </x:c>
      <x:c r="D82" s="76" t="str">
        <x:v>Done</x:v>
      </x:c>
      <x:c r="E82" s="76" t="str">
        <x:v>High</x:v>
      </x:c>
      <x:c r="F82" s="76" t="str">
        <x:v>Kevin Mcmahon</x:v>
      </x:c>
      <x:c r="G82" s="76" t="str"/>
      <x:c r="H82" s="76" t="str">
        <x:v>API-ACCOUNT-003</x:v>
      </x:c>
      <x:c r="I82" s="76" t="str"/>
      <x:c r="J82" s="76" t="str">
        <x:v>Pass</x:v>
      </x:c>
      <x:c r="K82" s="76" t="str">
        <x:v>Manual</x:v>
      </x:c>
      <x:c r="L82" s="76" t="str">
        <x:v>AEQA-43</x:v>
      </x:c>
      <x:c r="M82" s="76" t="str"/>
      <x:c r="N82" s="76" t="str">
        <x:v>10/Aug/26 8:00 PM</x:v>
      </x:c>
    </x:row>
    <x:row r="83" ht="31.5" customHeight="1">
      <x:c r="A83" s="76" t="str">
        <x:v>AEQA-79</x:v>
      </x:c>
      <x:c r="B83" s="76" t="str">
        <x:v>Test Case</x:v>
      </x:c>
      <x:c r="C83" s="76" t="str">
        <x:v>API-ACCOUNT-004 - Verify user-account details can be retrieved by email</x:v>
      </x:c>
      <x:c r="D83" s="76" t="str">
        <x:v>Done</x:v>
      </x:c>
      <x:c r="E83" s="76" t="str">
        <x:v>High</x:v>
      </x:c>
      <x:c r="F83" s="76" t="str">
        <x:v>Kevin Mcmahon</x:v>
      </x:c>
      <x:c r="G83" s="76" t="str"/>
      <x:c r="H83" s="76" t="str">
        <x:v>API-ACCOUNT-004</x:v>
      </x:c>
      <x:c r="I83" s="76" t="str"/>
      <x:c r="J83" s="76" t="str">
        <x:v>Pass</x:v>
      </x:c>
      <x:c r="K83" s="76" t="str">
        <x:v>Manual</x:v>
      </x:c>
      <x:c r="L83" s="76" t="str">
        <x:v>AEQA-44</x:v>
      </x:c>
      <x:c r="M83" s="76" t="str"/>
      <x:c r="N83" s="76" t="str">
        <x:v>10/Aug/26 8:00 PM</x:v>
      </x:c>
    </x:row>
    <x:row r="84" ht="31.5" customHeight="1">
      <x:c r="A84" s="76" t="str">
        <x:v>AEQA-80</x:v>
      </x:c>
      <x:c r="B84" s="76" t="str">
        <x:v>Bug</x:v>
      </x:c>
      <x:c r="C84" s="76" t="str">
        <x:v>AE-BUG-001 - Authenticated user information remains visible after logout when navigating back</x:v>
      </x:c>
      <x:c r="D84" s="76" t="str">
        <x:v>Backlog</x:v>
      </x:c>
      <x:c r="E84" s="76" t="str">
        <x:v>High</x:v>
      </x:c>
      <x:c r="F84" s="76" t="str"/>
      <x:c r="G84" s="76" t="str"/>
      <x:c r="H84" s="76" t="str"/>
      <x:c r="I84" s="76" t="str">
        <x:v>AE-BUG-001</x:v>
      </x:c>
      <x:c r="J84" s="76" t="str"/>
      <x:c r="K84" s="76" t="str"/>
      <x:c r="L84" s="76" t="str"/>
      <x:c r="M84" s="76" t="str"/>
      <x:c r="N84" s="76" t="str">
        <x:v>10/Aug/26 7:08 PM</x:v>
      </x:c>
    </x:row>
    <x:row r="85" ht="31.5" customHeight="1">
      <x:c r="A85" s="76" t="str">
        <x:v>AEQA-81</x:v>
      </x:c>
      <x:c r="B85" s="76" t="str">
        <x:v>Bug</x:v>
      </x:c>
      <x:c r="C85" s="76" t="str">
        <x:v>AE-BUG-002 - Repeated logout request causes an unhandled KeyError and exposes internal debugging information</x:v>
      </x:c>
      <x:c r="D85" s="76" t="str">
        <x:v>Backlog</x:v>
      </x:c>
      <x:c r="E85" s="76" t="str">
        <x:v>High</x:v>
      </x:c>
      <x:c r="F85" s="76" t="str"/>
      <x:c r="G85" s="76" t="str"/>
      <x:c r="H85" s="76" t="str"/>
      <x:c r="I85" s="76" t="str">
        <x:v>AE-BUG-002</x:v>
      </x:c>
      <x:c r="J85" s="76" t="str"/>
      <x:c r="K85" s="76" t="str"/>
      <x:c r="L85" s="76" t="str"/>
      <x:c r="M85" s="76" t="str"/>
      <x:c r="N85" s="76" t="str">
        <x:v>10/Aug/26 7:08 PM</x:v>
      </x:c>
    </x:row>
    <x:row r="86" ht="31.5" customHeight="1">
      <x:c r="A86" s="76" t="str">
        <x:v>AEQA-82</x:v>
      </x:c>
      <x:c r="B86" s="76" t="str">
        <x:v>Bug</x:v>
      </x:c>
      <x:c r="C86" s="76" t="str">
        <x:v>AE-BUG-003 - Cart does not display the overall total after multiple products are added</x:v>
      </x:c>
      <x:c r="D86" s="76" t="str">
        <x:v>Selected for Development</x:v>
      </x:c>
      <x:c r="E86" s="76" t="str">
        <x:v>High</x:v>
      </x:c>
      <x:c r="F86" s="76" t="str"/>
      <x:c r="G86" s="76" t="str"/>
      <x:c r="H86" s="76" t="str"/>
      <x:c r="I86" s="76" t="str">
        <x:v>AE-BUG-003</x:v>
      </x:c>
      <x:c r="J86" s="76" t="str"/>
      <x:c r="K86" s="76" t="str"/>
      <x:c r="L86" s="76" t="str"/>
      <x:c r="M86" s="76" t="str"/>
      <x:c r="N86" s="76" t="str">
        <x:v>10/Aug/26 8:36 PM</x:v>
      </x:c>
    </x:row>
    <x:row r="87" ht="31.5" customHeight="1">
      <x:c r="A87" s="76" t="str">
        <x:v>AEQA-83</x:v>
      </x:c>
      <x:c r="B87" s="76" t="str">
        <x:v>Bug</x:v>
      </x:c>
      <x:c r="C87" s="76" t="str">
        <x:v>AE-BUG-004 - The quantity field on the product-detail page does not respond when the user attempts to edit it. As a result, the user cannot select the desired quantity before adding the product to the cart.</x:v>
      </x:c>
      <x:c r="D87" s="76" t="str">
        <x:v>Backlog</x:v>
      </x:c>
      <x:c r="E87" s="76" t="str">
        <x:v>High</x:v>
      </x:c>
      <x:c r="F87" s="76" t="str"/>
      <x:c r="G87" s="76" t="str"/>
      <x:c r="H87" s="76" t="str"/>
      <x:c r="I87" s="76" t="str">
        <x:v>AE-BUG-004</x:v>
      </x:c>
      <x:c r="J87" s="76" t="str"/>
      <x:c r="K87" s="76" t="str"/>
      <x:c r="L87" s="76" t="str"/>
      <x:c r="M87" s="76" t="str"/>
      <x:c r="N87" s="76" t="str">
        <x:v>10/Aug/26 7:09 PM</x:v>
      </x:c>
    </x:row>
    <x:row r="88" ht="31.5" customHeight="1">
      <x:c r="A88" s="76" t="str">
        <x:v>AEQA-84</x:v>
      </x:c>
      <x:c r="B88" s="76" t="str">
        <x:v>Bug</x:v>
      </x:c>
      <x:c r="C88" s="76" t="str">
        <x:v>BUG-API-001 - Products List API returns HTTP 200 instead of 405 for unsupported POST request</x:v>
      </x:c>
      <x:c r="D88" s="76" t="str">
        <x:v>Selected for Development</x:v>
      </x:c>
      <x:c r="E88" s="76" t="str">
        <x:v>Medium</x:v>
      </x:c>
      <x:c r="F88" s="76" t="str">
        <x:v>Kevin Mcmahon</x:v>
      </x:c>
      <x:c r="G88" s="76" t="str"/>
      <x:c r="H88" s="76" t="str"/>
      <x:c r="I88" s="76" t="str">
        <x:v>BUG-API-001</x:v>
      </x:c>
      <x:c r="J88" s="76" t="str"/>
      <x:c r="K88" s="76" t="str"/>
      <x:c r="L88" s="76" t="str"/>
      <x:c r="M88" s="76" t="str"/>
      <x:c r="N88" s="76" t="str">
        <x:v>11/Aug/26 9:29 AM</x:v>
      </x:c>
    </x:row>
    <x:row r="89" ht="31.5" customHeight="1">
      <x:c r="A89" s="76" t="str">
        <x:v>AEQA-85</x:v>
      </x:c>
      <x:c r="B89" s="76" t="str">
        <x:v>Bug</x:v>
      </x:c>
      <x:c r="C89" s="76" t="str">
        <x:v>BUG-API-002 - Search Product API returns all products when required search_product parameter is omitted</x:v>
      </x:c>
      <x:c r="D89" s="76" t="str">
        <x:v>Backlog</x:v>
      </x:c>
      <x:c r="E89" s="76" t="str">
        <x:v>High</x:v>
      </x:c>
      <x:c r="F89" s="76" t="str"/>
      <x:c r="G89" s="76" t="str"/>
      <x:c r="H89" s="76" t="str"/>
      <x:c r="I89" s="76" t="str">
        <x:v>BUG-API-002</x:v>
      </x:c>
      <x:c r="J89" s="76" t="str"/>
      <x:c r="K89" s="76" t="str"/>
      <x:c r="L89" s="76" t="str"/>
      <x:c r="M89" s="76" t="str"/>
      <x:c r="N89" s="76" t="str">
        <x:v>10/Aug/26 7:37 PM</x:v>
      </x:c>
    </x:row>
    <x:row r="90" ht="31.5" customHeight="1">
      <x:c r="A90" s="76" t="str">
        <x:v>AEQA-86</x:v>
      </x:c>
      <x:c r="B90" s="76" t="str">
        <x:v>Sub-task</x:v>
      </x:c>
      <x:c r="C90" s="76" t="str">
        <x:v>Define the register-during-checkout end-to-end test flow</x:v>
      </x:c>
      <x:c r="D90" s="76" t="str">
        <x:v>Backlog</x:v>
      </x:c>
      <x:c r="E90" s="76" t="str">
        <x:v>Medium</x:v>
      </x:c>
      <x:c r="F90" s="76" t="str"/>
      <x:c r="G90" s="76" t="str"/>
      <x:c r="H90" s="76" t="str"/>
      <x:c r="I90" s="76" t="str"/>
      <x:c r="J90" s="76" t="str"/>
      <x:c r="K90" s="76" t="str"/>
      <x:c r="L90" s="76" t="str"/>
      <x:c r="M90" s="76" t="str">
        <x:v>AEQA-14</x:v>
      </x:c>
      <x:c r="N90" s="76" t="str">
        <x:v>10/Aug/26 8:31 PM</x:v>
      </x:c>
    </x:row>
    <x:row r="91" ht="31.5" customHeight="1">
      <x:c r="A91" s="76" t="str">
        <x:v>AEQA-87</x:v>
      </x:c>
      <x:c r="B91" s="76" t="str">
        <x:v>Sub-task</x:v>
      </x:c>
      <x:c r="C91" s="76" t="str">
        <x:v>Prepare test data and checkout prerequisites</x:v>
      </x:c>
      <x:c r="D91" s="76" t="str">
        <x:v>Backlog</x:v>
      </x:c>
      <x:c r="E91" s="76" t="str">
        <x:v>Medium</x:v>
      </x:c>
      <x:c r="F91" s="76" t="str"/>
      <x:c r="G91" s="76" t="str"/>
      <x:c r="H91" s="76" t="str"/>
      <x:c r="I91" s="76" t="str"/>
      <x:c r="J91" s="76" t="str"/>
      <x:c r="K91" s="76" t="str"/>
      <x:c r="L91" s="76" t="str"/>
      <x:c r="M91" s="76" t="str">
        <x:v>AEQA-14</x:v>
      </x:c>
      <x:c r="N91" s="76" t="str">
        <x:v>10/Aug/26 8:31 PM</x:v>
      </x:c>
    </x:row>
    <x:row r="92" ht="31.5" customHeight="1">
      <x:c r="A92" s="76" t="str">
        <x:v>AEQA-88</x:v>
      </x:c>
      <x:c r="B92" s="76" t="str">
        <x:v>Sub-task</x:v>
      </x:c>
      <x:c r="C92" s="76" t="str">
        <x:v>Run and validate the new checkout test in QA</x:v>
      </x:c>
      <x:c r="D92" s="76" t="str">
        <x:v>Backlog</x:v>
      </x:c>
      <x:c r="E92" s="76" t="str">
        <x:v>Medium</x:v>
      </x:c>
      <x:c r="F92" s="76" t="str"/>
      <x:c r="G92" s="76" t="str"/>
      <x:c r="H92" s="76" t="str"/>
      <x:c r="I92" s="76" t="str"/>
      <x:c r="J92" s="76" t="str"/>
      <x:c r="K92" s="76" t="str"/>
      <x:c r="L92" s="76" t="str"/>
      <x:c r="M92" s="76" t="str">
        <x:v>AEQA-14</x:v>
      </x:c>
      <x:c r="N92" s="76" t="str">
        <x:v>10/Aug/26 8:31 PM</x:v>
      </x:c>
    </x:row>
    <x:row r="93" ht="31.5" customHeight="1">
      <x:c r="A93" s="76" t="str">
        <x:v>AEQA-89</x:v>
      </x:c>
      <x:c r="B93" s="76" t="str">
        <x:v>Sub-task</x:v>
      </x:c>
      <x:c r="C93" s="76" t="str">
        <x:v>Automate the register-while-checking-out scenario in Playwright</x:v>
      </x:c>
      <x:c r="D93" s="76" t="str">
        <x:v>Backlog</x:v>
      </x:c>
      <x:c r="E93" s="76" t="str">
        <x:v>Medium</x:v>
      </x:c>
      <x:c r="F93" s="76" t="str"/>
      <x:c r="G93" s="76" t="str"/>
      <x:c r="H93" s="76" t="str"/>
      <x:c r="I93" s="76" t="str"/>
      <x:c r="J93" s="76" t="str"/>
      <x:c r="K93" s="76" t="str"/>
      <x:c r="L93" s="76" t="str"/>
      <x:c r="M93" s="76" t="str">
        <x:v>AEQA-14</x:v>
      </x:c>
      <x:c r="N93" s="76" t="str">
        <x:v>10/Aug/26 8:31 PM</x:v>
      </x:c>
    </x:row>
    <x:row r="94" ht="31.5" customHeight="1">
      <x:c r="A94" s="76" t="str">
        <x:v>AEQA-90</x:v>
      </x:c>
      <x:c r="B94" s="76" t="str">
        <x:v>Sub-task</x:v>
      </x:c>
      <x:c r="C94" s="76" t="str">
        <x:v>Add assertions for successful registration and order completion</x:v>
      </x:c>
      <x:c r="D94" s="76" t="str">
        <x:v>Backlog</x:v>
      </x:c>
      <x:c r="E94" s="76" t="str">
        <x:v>Medium</x:v>
      </x:c>
      <x:c r="F94" s="76" t="str"/>
      <x:c r="G94" s="76" t="str"/>
      <x:c r="H94" s="76" t="str"/>
      <x:c r="I94" s="76" t="str"/>
      <x:c r="J94" s="76" t="str"/>
      <x:c r="K94" s="76" t="str"/>
      <x:c r="L94" s="76" t="str"/>
      <x:c r="M94" s="76" t="str">
        <x:v>AEQA-14</x:v>
      </x:c>
      <x:c r="N94" s="76" t="str">
        <x:v>10/Aug/26 8:31 PM</x:v>
      </x:c>
    </x:row>
    <x:row r="95" ht="31.5" customHeight="1">
      <x:c r="A95" s="76" t="str">
        <x:v>AEQA-91</x:v>
      </x:c>
      <x:c r="B95" s="76" t="str">
        <x:v>Sub-task</x:v>
      </x:c>
      <x:c r="C95" s="76" t="str">
        <x:v>Prepare test data and QA prerequisites for registration and checkout</x:v>
      </x:c>
      <x:c r="D95" s="76" t="str">
        <x:v>Backlog</x:v>
      </x:c>
      <x:c r="E95" s="76" t="str">
        <x:v>Medium</x:v>
      </x:c>
      <x:c r="F95" s="76" t="str"/>
      <x:c r="G95" s="76" t="str"/>
      <x:c r="H95" s="76" t="str"/>
      <x:c r="I95" s="76" t="str"/>
      <x:c r="J95" s="76" t="str"/>
      <x:c r="K95" s="76" t="str"/>
      <x:c r="L95" s="76" t="str"/>
      <x:c r="M95" s="76" t="str">
        <x:v>AEQA-15</x:v>
      </x:c>
      <x:c r="N95" s="76" t="str">
        <x:v>10/Aug/26 8:31 PM</x:v>
      </x:c>
    </x:row>
    <x:row r="96" ht="31.5" customHeight="1">
      <x:c r="A96" s="76" t="str">
        <x:v>AEQA-92</x:v>
      </x:c>
      <x:c r="B96" s="76" t="str">
        <x:v>Sub-task</x:v>
      </x:c>
      <x:c r="C96" s="76" t="str">
        <x:v>Add assertions for successful registration, checkout, and order completion</x:v>
      </x:c>
      <x:c r="D96" s="76" t="str">
        <x:v>Backlog</x:v>
      </x:c>
      <x:c r="E96" s="76" t="str">
        <x:v>Medium</x:v>
      </x:c>
      <x:c r="F96" s="76" t="str"/>
      <x:c r="G96" s="76" t="str"/>
      <x:c r="H96" s="76" t="str"/>
      <x:c r="I96" s="76" t="str"/>
      <x:c r="J96" s="76" t="str"/>
      <x:c r="K96" s="76" t="str"/>
      <x:c r="L96" s="76" t="str"/>
      <x:c r="M96" s="76" t="str">
        <x:v>AEQA-15</x:v>
      </x:c>
      <x:c r="N96" s="76" t="str">
        <x:v>10/Aug/26 8:31 PM</x:v>
      </x:c>
    </x:row>
    <x:row r="97" ht="31.5" customHeight="1">
      <x:c r="A97" s="76" t="str">
        <x:v>AEQA-93</x:v>
      </x:c>
      <x:c r="B97" s="76" t="str">
        <x:v>Sub-task</x:v>
      </x:c>
      <x:c r="C97" s="76" t="str">
        <x:v>Automate the register-before-checkout scenario in Playwright</x:v>
      </x:c>
      <x:c r="D97" s="76" t="str">
        <x:v>Backlog</x:v>
      </x:c>
      <x:c r="E97" s="76" t="str">
        <x:v>Medium</x:v>
      </x:c>
      <x:c r="F97" s="76" t="str"/>
      <x:c r="G97" s="76" t="str"/>
      <x:c r="H97" s="76" t="str"/>
      <x:c r="I97" s="76" t="str"/>
      <x:c r="J97" s="76" t="str"/>
      <x:c r="K97" s="76" t="str"/>
      <x:c r="L97" s="76" t="str"/>
      <x:c r="M97" s="76" t="str">
        <x:v>AEQA-15</x:v>
      </x:c>
      <x:c r="N97" s="76" t="str">
        <x:v>10/Aug/26 8:31 PM</x:v>
      </x:c>
    </x:row>
    <x:row r="98" ht="31.5" customHeight="1">
      <x:c r="A98" s="76" t="str">
        <x:v>AEQA-94</x:v>
      </x:c>
      <x:c r="B98" s="76" t="str">
        <x:v>Sub-task</x:v>
      </x:c>
      <x:c r="C98" s="76" t="str">
        <x:v>Run and validate the new register-before-checkout test in QA</x:v>
      </x:c>
      <x:c r="D98" s="76" t="str">
        <x:v>Backlog</x:v>
      </x:c>
      <x:c r="E98" s="76" t="str">
        <x:v>Medium</x:v>
      </x:c>
      <x:c r="F98" s="76" t="str"/>
      <x:c r="G98" s="76" t="str"/>
      <x:c r="H98" s="76" t="str"/>
      <x:c r="I98" s="76" t="str"/>
      <x:c r="J98" s="76" t="str"/>
      <x:c r="K98" s="76" t="str"/>
      <x:c r="L98" s="76" t="str"/>
      <x:c r="M98" s="76" t="str">
        <x:v>AEQA-15</x:v>
      </x:c>
      <x:c r="N98" s="76" t="str">
        <x:v>10/Aug/26 8:32 PM</x:v>
      </x:c>
    </x:row>
    <x:row r="99" ht="31.5" customHeight="1">
      <x:c r="A99" s="76" t="str">
        <x:v>AEQA-95</x:v>
      </x:c>
      <x:c r="B99" s="76" t="str">
        <x:v>Sub-task</x:v>
      </x:c>
      <x:c r="C99" s="76" t="str">
        <x:v>Define the register-before-checkout end-to-end test flow</x:v>
      </x:c>
      <x:c r="D99" s="76" t="str">
        <x:v>Backlog</x:v>
      </x:c>
      <x:c r="E99" s="76" t="str">
        <x:v>Medium</x:v>
      </x:c>
      <x:c r="F99" s="76" t="str"/>
      <x:c r="G99" s="76" t="str"/>
      <x:c r="H99" s="76" t="str"/>
      <x:c r="I99" s="76" t="str"/>
      <x:c r="J99" s="76" t="str"/>
      <x:c r="K99" s="76" t="str"/>
      <x:c r="L99" s="76" t="str"/>
      <x:c r="M99" s="76" t="str">
        <x:v>AEQA-15</x:v>
      </x:c>
      <x:c r="N99" s="76" t="str">
        <x:v>10/Aug/26 8:32 PM</x:v>
      </x:c>
    </x:row>
    <x:row r="100" ht="31.5" customHeight="1">
      <x:c r="A100" s="76" t="str">
        <x:v>AEQA-96</x:v>
      </x:c>
      <x:c r="B100" s="76" t="str">
        <x:v>Sub-task</x:v>
      </x:c>
      <x:c r="C100" s="76" t="str">
        <x:v>Define the login-before-checkout end-to-end test flow</x:v>
      </x:c>
      <x:c r="D100" s="76" t="str">
        <x:v>Backlog</x:v>
      </x:c>
      <x:c r="E100" s="76" t="str">
        <x:v>Medium</x:v>
      </x:c>
      <x:c r="F100" s="76" t="str"/>
      <x:c r="G100" s="76" t="str"/>
      <x:c r="H100" s="76" t="str"/>
      <x:c r="I100" s="76" t="str"/>
      <x:c r="J100" s="76" t="str"/>
      <x:c r="K100" s="76" t="str"/>
      <x:c r="L100" s="76" t="str"/>
      <x:c r="M100" s="76" t="str">
        <x:v>AEQA-16</x:v>
      </x:c>
      <x:c r="N100" s="76" t="str">
        <x:v>10/Aug/26 8:32 PM</x:v>
      </x:c>
    </x:row>
    <x:row r="101" ht="31.5" customHeight="1">
      <x:c r="A101" s="76" t="str">
        <x:v>AEQA-97</x:v>
      </x:c>
      <x:c r="B101" s="76" t="str">
        <x:v>Sub-task</x:v>
      </x:c>
      <x:c r="C101" s="76" t="str">
        <x:v>Prepare test data and QA prerequisites for login and checkout</x:v>
      </x:c>
      <x:c r="D101" s="76" t="str">
        <x:v>Backlog</x:v>
      </x:c>
      <x:c r="E101" s="76" t="str">
        <x:v>Medium</x:v>
      </x:c>
      <x:c r="F101" s="76" t="str"/>
      <x:c r="G101" s="76" t="str"/>
      <x:c r="H101" s="76" t="str"/>
      <x:c r="I101" s="76" t="str"/>
      <x:c r="J101" s="76" t="str"/>
      <x:c r="K101" s="76" t="str"/>
      <x:c r="L101" s="76" t="str"/>
      <x:c r="M101" s="76" t="str">
        <x:v>AEQA-16</x:v>
      </x:c>
      <x:c r="N101" s="76" t="str">
        <x:v>10/Aug/26 8:32 PM</x:v>
      </x:c>
    </x:row>
    <x:row r="102" ht="31.5" customHeight="1">
      <x:c r="A102" s="76" t="str">
        <x:v>AEQA-98</x:v>
      </x:c>
      <x:c r="B102" s="76" t="str">
        <x:v>Sub-task</x:v>
      </x:c>
      <x:c r="C102" s="76" t="str">
        <x:v>Add assertions for successful login, checkout, and order completion</x:v>
      </x:c>
      <x:c r="D102" s="76" t="str">
        <x:v>Backlog</x:v>
      </x:c>
      <x:c r="E102" s="76" t="str">
        <x:v>Medium</x:v>
      </x:c>
      <x:c r="F102" s="76" t="str"/>
      <x:c r="G102" s="76" t="str"/>
      <x:c r="H102" s="76" t="str"/>
      <x:c r="I102" s="76" t="str"/>
      <x:c r="J102" s="76" t="str"/>
      <x:c r="K102" s="76" t="str"/>
      <x:c r="L102" s="76" t="str"/>
      <x:c r="M102" s="76" t="str">
        <x:v>AEQA-16</x:v>
      </x:c>
      <x:c r="N102" s="76" t="str">
        <x:v>10/Aug/26 8:32 PM</x:v>
      </x:c>
    </x:row>
    <x:row r="103" ht="31.5" customHeight="1">
      <x:c r="A103" s="76" t="str">
        <x:v>AEQA-99</x:v>
      </x:c>
      <x:c r="B103" s="76" t="str">
        <x:v>Sub-task</x:v>
      </x:c>
      <x:c r="C103" s="76" t="str">
        <x:v>Run and validate the new login-before-checkout test in QA</x:v>
      </x:c>
      <x:c r="D103" s="76" t="str">
        <x:v>Backlog</x:v>
      </x:c>
      <x:c r="E103" s="76" t="str">
        <x:v>Medium</x:v>
      </x:c>
      <x:c r="F103" s="76" t="str"/>
      <x:c r="G103" s="76" t="str"/>
      <x:c r="H103" s="76" t="str"/>
      <x:c r="I103" s="76" t="str"/>
      <x:c r="J103" s="76" t="str"/>
      <x:c r="K103" s="76" t="str"/>
      <x:c r="L103" s="76" t="str"/>
      <x:c r="M103" s="76" t="str">
        <x:v>AEQA-16</x:v>
      </x:c>
      <x:c r="N103" s="76" t="str">
        <x:v>10/Aug/26 8:32 PM</x:v>
      </x:c>
    </x:row>
    <x:row r="104" ht="31.5" customHeight="1">
      <x:c r="A104" s="76" t="str">
        <x:v>AEQA-100</x:v>
      </x:c>
      <x:c r="B104" s="76" t="str">
        <x:v>Sub-task</x:v>
      </x:c>
      <x:c r="C104" s="76" t="str">
        <x:v>Automate the login-before-checkout scenario in Playwright</x:v>
      </x:c>
      <x:c r="D104" s="76" t="str">
        <x:v>Backlog</x:v>
      </x:c>
      <x:c r="E104" s="76" t="str">
        <x:v>Medium</x:v>
      </x:c>
      <x:c r="F104" s="76" t="str"/>
      <x:c r="G104" s="76" t="str"/>
      <x:c r="H104" s="76" t="str"/>
      <x:c r="I104" s="76" t="str"/>
      <x:c r="J104" s="76" t="str"/>
      <x:c r="K104" s="76" t="str"/>
      <x:c r="L104" s="76" t="str"/>
      <x:c r="M104" s="76" t="str">
        <x:v>AEQA-16</x:v>
      </x:c>
      <x:c r="N104" s="76" t="str">
        <x:v>10/Aug/26 8:32 PM</x:v>
      </x:c>
    </x:row>
    <x:row r="105" ht="31.5" customHeight="1">
      <x:c r="A105" s="76" t="str">
        <x:v>AEQA-101</x:v>
      </x:c>
      <x:c r="B105" s="76" t="str">
        <x:v>Sub-task</x:v>
      </x:c>
      <x:c r="C105" s="76" t="str">
        <x:v>Prepare test data and QA prerequisites for checkout address validation</x:v>
      </x:c>
      <x:c r="D105" s="76" t="str">
        <x:v>Backlog</x:v>
      </x:c>
      <x:c r="E105" s="76" t="str">
        <x:v>Medium</x:v>
      </x:c>
      <x:c r="F105" s="76" t="str"/>
      <x:c r="G105" s="76" t="str"/>
      <x:c r="H105" s="76" t="str"/>
      <x:c r="I105" s="76" t="str"/>
      <x:c r="J105" s="76" t="str"/>
      <x:c r="K105" s="76" t="str"/>
      <x:c r="L105" s="76" t="str"/>
      <x:c r="M105" s="76" t="str">
        <x:v>AEQA-23</x:v>
      </x:c>
      <x:c r="N105" s="76" t="str">
        <x:v>10/Aug/26 8:33 PM</x:v>
      </x:c>
    </x:row>
    <x:row r="106" ht="31.5" customHeight="1">
      <x:c r="A106" s="76" t="str">
        <x:v>AEQA-102</x:v>
      </x:c>
      <x:c r="B106" s="76" t="str">
        <x:v>Sub-task</x:v>
      </x:c>
      <x:c r="C106" s="76" t="str">
        <x:v>Automate the checkout address verification scenario in Playwright</x:v>
      </x:c>
      <x:c r="D106" s="76" t="str">
        <x:v>Backlog</x:v>
      </x:c>
      <x:c r="E106" s="76" t="str">
        <x:v>Medium</x:v>
      </x:c>
      <x:c r="F106" s="76" t="str"/>
      <x:c r="G106" s="76" t="str"/>
      <x:c r="H106" s="76" t="str"/>
      <x:c r="I106" s="76" t="str"/>
      <x:c r="J106" s="76" t="str"/>
      <x:c r="K106" s="76" t="str"/>
      <x:c r="L106" s="76" t="str"/>
      <x:c r="M106" s="76" t="str">
        <x:v>AEQA-23</x:v>
      </x:c>
      <x:c r="N106" s="76" t="str">
        <x:v>10/Aug/26 8:33 PM</x:v>
      </x:c>
    </x:row>
    <x:row r="107" ht="31.5" customHeight="1">
      <x:c r="A107" s="76" t="str">
        <x:v>AEQA-103</x:v>
      </x:c>
      <x:c r="B107" s="76" t="str">
        <x:v>Sub-task</x:v>
      </x:c>
      <x:c r="C107" s="76" t="str">
        <x:v>Define the checkout address verification test flow</x:v>
      </x:c>
      <x:c r="D107" s="76" t="str">
        <x:v>Backlog</x:v>
      </x:c>
      <x:c r="E107" s="76" t="str">
        <x:v>Medium</x:v>
      </x:c>
      <x:c r="F107" s="76" t="str"/>
      <x:c r="G107" s="76" t="str"/>
      <x:c r="H107" s="76" t="str"/>
      <x:c r="I107" s="76" t="str"/>
      <x:c r="J107" s="76" t="str"/>
      <x:c r="K107" s="76" t="str"/>
      <x:c r="L107" s="76" t="str"/>
      <x:c r="M107" s="76" t="str">
        <x:v>AEQA-23</x:v>
      </x:c>
      <x:c r="N107" s="76" t="str">
        <x:v>10/Aug/26 8:33 PM</x:v>
      </x:c>
    </x:row>
    <x:row r="108" ht="31.5" customHeight="1">
      <x:c r="A108" s="76" t="str">
        <x:v>AEQA-104</x:v>
      </x:c>
      <x:c r="B108" s="76" t="str">
        <x:v>Sub-task</x:v>
      </x:c>
      <x:c r="C108" s="76" t="str">
        <x:v>Run and validate the new checkout address verification test in QA</x:v>
      </x:c>
      <x:c r="D108" s="76" t="str">
        <x:v>Backlog</x:v>
      </x:c>
      <x:c r="E108" s="76" t="str">
        <x:v>Medium</x:v>
      </x:c>
      <x:c r="F108" s="76" t="str"/>
      <x:c r="G108" s="76" t="str"/>
      <x:c r="H108" s="76" t="str"/>
      <x:c r="I108" s="76" t="str"/>
      <x:c r="J108" s="76" t="str"/>
      <x:c r="K108" s="76" t="str"/>
      <x:c r="L108" s="76" t="str"/>
      <x:c r="M108" s="76" t="str">
        <x:v>AEQA-23</x:v>
      </x:c>
      <x:c r="N108" s="76" t="str">
        <x:v>10/Aug/26 8:33 PM</x:v>
      </x:c>
    </x:row>
    <x:row r="109" ht="31.5" customHeight="1">
      <x:c r="A109" s="76" t="str">
        <x:v>AEQA-105</x:v>
      </x:c>
      <x:c r="B109" s="76" t="str">
        <x:v>Sub-task</x:v>
      </x:c>
      <x:c r="C109" s="76" t="str">
        <x:v>Add assertions for billing and delivery address details on the checkout page</x:v>
      </x:c>
      <x:c r="D109" s="76" t="str">
        <x:v>Backlog</x:v>
      </x:c>
      <x:c r="E109" s="76" t="str">
        <x:v>Medium</x:v>
      </x:c>
      <x:c r="F109" s="76" t="str"/>
      <x:c r="G109" s="76" t="str"/>
      <x:c r="H109" s="76" t="str"/>
      <x:c r="I109" s="76" t="str"/>
      <x:c r="J109" s="76" t="str"/>
      <x:c r="K109" s="76" t="str"/>
      <x:c r="L109" s="76" t="str"/>
      <x:c r="M109" s="76" t="str">
        <x:v>AEQA-23</x:v>
      </x:c>
      <x:c r="N109" s="76" t="str">
        <x:v>10/Aug/26 8:33 PM</x:v>
      </x:c>
    </x:row>
    <x:row r="110" ht="31.5" customHeight="1">
      <x:c r="A110" s="76" t="str">
        <x:v>AEQA-106</x:v>
      </x:c>
      <x:c r="B110" s="76" t="str">
        <x:v>Test Case</x:v>
      </x:c>
      <x:c r="C110" s="76" t="str">
        <x:v>AE-SIGNUP-006 - Verify the complete registration workflow including optional subscription selections</x:v>
      </x:c>
      <x:c r="D110" s="76" t="str">
        <x:v>Backlog</x:v>
      </x:c>
      <x:c r="E110" s="76" t="str">
        <x:v>Highest</x:v>
      </x:c>
      <x:c r="F110" s="76" t="str"/>
      <x:c r="G110" s="76" t="str"/>
      <x:c r="H110" s="76" t="str">
        <x:v>AE-SIGNUP-006</x:v>
      </x:c>
      <x:c r="I110" s="76" t="str"/>
      <x:c r="J110" s="76" t="str">
        <x:v>Not Run</x:v>
      </x:c>
      <x:c r="K110" s="76" t="str">
        <x:v>Manual</x:v>
      </x:c>
      <x:c r="L110" s="76" t="str">
        <x:v>AEQA-1</x:v>
      </x:c>
      <x:c r="M110" s="76" t="str"/>
      <x:c r="N110" s="76" t="str">
        <x:v>10/Aug/26 8:58 PM</x:v>
      </x:c>
    </x:row>
    <x:row r="111" ht="31.5" customHeight="1">
      <x:c r="A111" s="76" t="str">
        <x:v>AEQA-107</x:v>
      </x:c>
      <x:c r="B111" s="76" t="str">
        <x:v>Test Case</x:v>
      </x:c>
      <x:c r="C111" s="76" t="str">
        <x:v>AE-ORDER-001 - Verify an order can be placed after registering during checkout</x:v>
      </x:c>
      <x:c r="D111" s="76" t="str">
        <x:v>Done</x:v>
      </x:c>
      <x:c r="E111" s="76" t="str">
        <x:v>Highest</x:v>
      </x:c>
      <x:c r="F111" s="76" t="str">
        <x:v>Kevin Mcmahon</x:v>
      </x:c>
      <x:c r="G111" s="76" t="str"/>
      <x:c r="H111" s="76" t="str">
        <x:v>AE-ORDER-001</x:v>
      </x:c>
      <x:c r="I111" s="76" t="str"/>
      <x:c r="J111" s="76" t="str">
        <x:v>Pass</x:v>
      </x:c>
      <x:c r="K111" s="76" t="str">
        <x:v>Manual</x:v>
      </x:c>
      <x:c r="L111" s="76" t="str">
        <x:v>AEQA-14</x:v>
      </x:c>
      <x:c r="M111" s="76" t="str"/>
      <x:c r="N111" s="76" t="str">
        <x:v>2026-08-12 22:27 EDT</x:v>
      </x:c>
    </x:row>
    <x:row r="112" ht="31.5" customHeight="1">
      <x:c r="A112" s="76" t="str">
        <x:v>AEQA-108</x:v>
      </x:c>
      <x:c r="B112" s="76" t="str">
        <x:v>Test Case</x:v>
      </x:c>
      <x:c r="C112" s="76" t="str">
        <x:v>AE-ORDER-002 - Verify an order can be placed after registering before checkout</x:v>
      </x:c>
      <x:c r="D112" s="76" t="str">
        <x:v>Backlog</x:v>
      </x:c>
      <x:c r="E112" s="76" t="str">
        <x:v>Highest</x:v>
      </x:c>
      <x:c r="F112" s="76" t="str"/>
      <x:c r="G112" s="76" t="str"/>
      <x:c r="H112" s="76" t="str">
        <x:v>AE-ORDER-002</x:v>
      </x:c>
      <x:c r="I112" s="76" t="str"/>
      <x:c r="J112" s="76" t="str">
        <x:v>Not Run</x:v>
      </x:c>
      <x:c r="K112" s="76" t="str">
        <x:v>Manual</x:v>
      </x:c>
      <x:c r="L112" s="76" t="str">
        <x:v>AEQA-15</x:v>
      </x:c>
      <x:c r="M112" s="76" t="str"/>
      <x:c r="N112" s="76" t="str">
        <x:v>10/Aug/26 8:59 PM</x:v>
      </x:c>
    </x:row>
    <x:row r="113" ht="31.5" customHeight="1">
      <x:c r="A113" s="76" t="str">
        <x:v>AEQA-109</x:v>
      </x:c>
      <x:c r="B113" s="76" t="str">
        <x:v>Test Case</x:v>
      </x:c>
      <x:c r="C113" s="76" t="str">
        <x:v>AE-ORDER-003 - Verify an existing user can log in before checkout and place an order</x:v>
      </x:c>
      <x:c r="D113" s="76" t="str">
        <x:v>Backlog</x:v>
      </x:c>
      <x:c r="E113" s="76" t="str">
        <x:v>Highest</x:v>
      </x:c>
      <x:c r="F113" s="76" t="str">
        <x:v>Kevin Mcmahon</x:v>
      </x:c>
      <x:c r="G113" s="76" t="str"/>
      <x:c r="H113" s="76" t="str">
        <x:v>AE-ORDER-003</x:v>
      </x:c>
      <x:c r="I113" s="76" t="str"/>
      <x:c r="J113" s="76" t="str">
        <x:v>Not Run</x:v>
      </x:c>
      <x:c r="K113" s="76" t="str">
        <x:v>Manual</x:v>
      </x:c>
      <x:c r="L113" s="76" t="str">
        <x:v>AEQA-16</x:v>
      </x:c>
      <x:c r="M113" s="76" t="str"/>
      <x:c r="N113" s="76" t="str">
        <x:v>11/Aug/26 9:31 AM</x:v>
      </x:c>
    </x:row>
    <x:row r="114" ht="31.5" customHeight="1">
      <x:c r="A114" s="76" t="str">
        <x:v>AEQA-110</x:v>
      </x:c>
      <x:c r="B114" s="76" t="str">
        <x:v>Test Case</x:v>
      </x:c>
      <x:c r="C114" s="76" t="str">
        <x:v>AE-CATALOG-001 - Verify category and subcategory navigation displays matching products</x:v>
      </x:c>
      <x:c r="D114" s="76" t="str">
        <x:v>Backlog</x:v>
      </x:c>
      <x:c r="E114" s="76" t="str">
        <x:v>High</x:v>
      </x:c>
      <x:c r="F114" s="76" t="str"/>
      <x:c r="G114" s="76" t="str"/>
      <x:c r="H114" s="76" t="str">
        <x:v>AE-CATALOG-001</x:v>
      </x:c>
      <x:c r="I114" s="76" t="str"/>
      <x:c r="J114" s="76" t="str">
        <x:v>Not Run</x:v>
      </x:c>
      <x:c r="K114" s="76" t="str">
        <x:v>Manual</x:v>
      </x:c>
      <x:c r="L114" s="76" t="str">
        <x:v>AEQA-18</x:v>
      </x:c>
      <x:c r="M114" s="76" t="str"/>
      <x:c r="N114" s="76" t="str">
        <x:v>10/Aug/26 8:59 PM</x:v>
      </x:c>
    </x:row>
    <x:row r="115" ht="31.5" customHeight="1">
      <x:c r="A115" s="76" t="str">
        <x:v>AEQA-111</x:v>
      </x:c>
      <x:c r="B115" s="76" t="str">
        <x:v>Test Case</x:v>
      </x:c>
      <x:c r="C115" s="76" t="str">
        <x:v>AE-CATALOG-002 - Verify brand navigation and switching displays products for the selected brand</x:v>
      </x:c>
      <x:c r="D115" s="76" t="str">
        <x:v>Backlog</x:v>
      </x:c>
      <x:c r="E115" s="76" t="str">
        <x:v>High</x:v>
      </x:c>
      <x:c r="F115" s="76" t="str"/>
      <x:c r="G115" s="76" t="str"/>
      <x:c r="H115" s="76" t="str">
        <x:v>AE-CATALOG-002</x:v>
      </x:c>
      <x:c r="I115" s="76" t="str"/>
      <x:c r="J115" s="76" t="str">
        <x:v>Not Run</x:v>
      </x:c>
      <x:c r="K115" s="76" t="str">
        <x:v>Manual</x:v>
      </x:c>
      <x:c r="L115" s="76" t="str">
        <x:v>AEQA-19</x:v>
      </x:c>
      <x:c r="M115" s="76" t="str"/>
      <x:c r="N115" s="76" t="str">
        <x:v>10/Aug/26 8:59 PM</x:v>
      </x:c>
    </x:row>
    <x:row r="116" ht="31.5" customHeight="1">
      <x:c r="A116" s="76" t="str">
        <x:v>AEQA-112</x:v>
      </x:c>
      <x:c r="B116" s="76" t="str">
        <x:v>Test Case</x:v>
      </x:c>
      <x:c r="C116" s="76" t="str">
        <x:v>AE-CART-004 - Verify searched products remain in the cart after login</x:v>
      </x:c>
      <x:c r="D116" s="76" t="str">
        <x:v>Backlog</x:v>
      </x:c>
      <x:c r="E116" s="76" t="str">
        <x:v>Highest</x:v>
      </x:c>
      <x:c r="F116" s="76" t="str"/>
      <x:c r="G116" s="76" t="str"/>
      <x:c r="H116" s="76" t="str">
        <x:v>AE-CART-004</x:v>
      </x:c>
      <x:c r="I116" s="76" t="str"/>
      <x:c r="J116" s="76" t="str">
        <x:v>Not Run</x:v>
      </x:c>
      <x:c r="K116" s="76" t="str">
        <x:v>Manual</x:v>
      </x:c>
      <x:c r="L116" s="76" t="str">
        <x:v>AEQA-20</x:v>
      </x:c>
      <x:c r="M116" s="76" t="str"/>
      <x:c r="N116" s="76" t="str">
        <x:v>10/Aug/26 8:59 PM</x:v>
      </x:c>
    </x:row>
    <x:row r="117" ht="31.5" customHeight="1">
      <x:c r="A117" s="76" t="str">
        <x:v>AEQA-113</x:v>
      </x:c>
      <x:c r="B117" s="76" t="str">
        <x:v>Test Case</x:v>
      </x:c>
      <x:c r="C117" s="76" t="str">
        <x:v>AE-REVIEW-001 - Verify a visitor can submit a review from a product-details page</x:v>
      </x:c>
      <x:c r="D117" s="76" t="str">
        <x:v>Backlog</x:v>
      </x:c>
      <x:c r="E117" s="76" t="str">
        <x:v>Medium</x:v>
      </x:c>
      <x:c r="F117" s="76" t="str"/>
      <x:c r="G117" s="76" t="str"/>
      <x:c r="H117" s="76" t="str">
        <x:v>AE-REVIEW-001</x:v>
      </x:c>
      <x:c r="I117" s="76" t="str"/>
      <x:c r="J117" s="76" t="str">
        <x:v>Not Run</x:v>
      </x:c>
      <x:c r="K117" s="76" t="str">
        <x:v>Manual</x:v>
      </x:c>
      <x:c r="L117" s="76" t="str">
        <x:v>AEQA-21</x:v>
      </x:c>
      <x:c r="M117" s="76" t="str"/>
      <x:c r="N117" s="76" t="str">
        <x:v>10/Aug/26 8:59 PM</x:v>
      </x:c>
    </x:row>
    <x:row r="118" ht="31.5" customHeight="1">
      <x:c r="A118" s="76" t="str">
        <x:v>AEQA-114</x:v>
      </x:c>
      <x:c r="B118" s="76" t="str">
        <x:v>Test Case</x:v>
      </x:c>
      <x:c r="C118" s="76" t="str">
        <x:v>AE-CART-005 - Verify a product can be added to the cart from Recommended Items</x:v>
      </x:c>
      <x:c r="D118" s="76" t="str">
        <x:v>Backlog</x:v>
      </x:c>
      <x:c r="E118" s="76" t="str">
        <x:v>High</x:v>
      </x:c>
      <x:c r="F118" s="76" t="str"/>
      <x:c r="G118" s="76" t="str"/>
      <x:c r="H118" s="76" t="str">
        <x:v>AE-CART-005</x:v>
      </x:c>
      <x:c r="I118" s="76" t="str"/>
      <x:c r="J118" s="76" t="str">
        <x:v>Not Run</x:v>
      </x:c>
      <x:c r="K118" s="76" t="str">
        <x:v>Manual</x:v>
      </x:c>
      <x:c r="L118" s="76" t="str">
        <x:v>AEQA-22</x:v>
      </x:c>
      <x:c r="M118" s="76" t="str"/>
      <x:c r="N118" s="76" t="str">
        <x:v>10/Aug/26 8:59 PM</x:v>
      </x:c>
    </x:row>
    <x:row r="119" ht="31.5" customHeight="1">
      <x:c r="A119" s="76" t="str">
        <x:v>AEQA-115</x:v>
      </x:c>
      <x:c r="B119" s="76" t="str">
        <x:v>Test Case</x:v>
      </x:c>
      <x:c r="C119" s="76" t="str">
        <x:v>AE-ORDER-004 - Verify checkout delivery and billing addresses match the registered account</x:v>
      </x:c>
      <x:c r="D119" s="76" t="str">
        <x:v>Backlog</x:v>
      </x:c>
      <x:c r="E119" s="76" t="str">
        <x:v>Highest</x:v>
      </x:c>
      <x:c r="F119" s="76" t="str"/>
      <x:c r="G119" s="76" t="str"/>
      <x:c r="H119" s="76" t="str">
        <x:v>AE-ORDER-004</x:v>
      </x:c>
      <x:c r="I119" s="76" t="str"/>
      <x:c r="J119" s="76" t="str">
        <x:v>Not Run</x:v>
      </x:c>
      <x:c r="K119" s="76" t="str">
        <x:v>Manual</x:v>
      </x:c>
      <x:c r="L119" s="76" t="str">
        <x:v>AEQA-23</x:v>
      </x:c>
      <x:c r="M119" s="76" t="str"/>
      <x:c r="N119" s="76" t="str">
        <x:v>10/Aug/26 8:59 PM</x:v>
      </x:c>
    </x:row>
    <x:row r="120" ht="31.5" customHeight="1">
      <x:c r="A120" s="76" t="str">
        <x:v>AEQA-116</x:v>
      </x:c>
      <x:c r="B120" s="76" t="str">
        <x:v>Test Case</x:v>
      </x:c>
      <x:c r="C120" s="76" t="str">
        <x:v>AE-ORDER-005 - Verify an invoice can be downloaded after a successful purchase</x:v>
      </x:c>
      <x:c r="D120" s="76" t="str">
        <x:v>Backlog</x:v>
      </x:c>
      <x:c r="E120" s="76" t="str">
        <x:v>High</x:v>
      </x:c>
      <x:c r="F120" s="76" t="str"/>
      <x:c r="G120" s="76" t="str"/>
      <x:c r="H120" s="76" t="str">
        <x:v>AE-ORDER-005</x:v>
      </x:c>
      <x:c r="I120" s="76" t="str"/>
      <x:c r="J120" s="76" t="str">
        <x:v>Not Run</x:v>
      </x:c>
      <x:c r="K120" s="76" t="str">
        <x:v>Manual</x:v>
      </x:c>
      <x:c r="L120" s="76" t="str">
        <x:v>AEQA-24</x:v>
      </x:c>
      <x:c r="M120" s="76" t="str"/>
      <x:c r="N120" s="76" t="str">
        <x:v>10/Aug/26 8:59 PM</x:v>
      </x:c>
    </x:row>
    <x:row r="121" ht="31.5" customHeight="1">
      <x:c r="A121" s="76" t="str">
        <x:v>AEQA-117</x:v>
      </x:c>
      <x:c r="B121" s="76" t="str">
        <x:v>Test Case</x:v>
      </x:c>
      <x:c r="C121" s="76" t="str">
        <x:v>AE-NAV-002 - Verify scrolling down and returning to the top with the arrow button</x:v>
      </x:c>
      <x:c r="D121" s="76" t="str">
        <x:v>Backlog</x:v>
      </x:c>
      <x:c r="E121" s="76" t="str">
        <x:v>Medium</x:v>
      </x:c>
      <x:c r="F121" s="76" t="str"/>
      <x:c r="G121" s="76" t="str"/>
      <x:c r="H121" s="76" t="str">
        <x:v>AE-NAV-002</x:v>
      </x:c>
      <x:c r="I121" s="76" t="str"/>
      <x:c r="J121" s="76" t="str">
        <x:v>Not Run</x:v>
      </x:c>
      <x:c r="K121" s="76" t="str">
        <x:v>Manual</x:v>
      </x:c>
      <x:c r="L121" s="76" t="str">
        <x:v>AEQA-25</x:v>
      </x:c>
      <x:c r="M121" s="76" t="str"/>
      <x:c r="N121" s="76" t="str">
        <x:v>10/Aug/26 8:59 PM</x:v>
      </x:c>
    </x:row>
    <x:row r="122" ht="31.5" customHeight="1">
      <x:c r="A122" s="76" t="str">
        <x:v>AEQA-118</x:v>
      </x:c>
      <x:c r="B122" s="76" t="str">
        <x:v>Test Case</x:v>
      </x:c>
      <x:c r="C122" s="76" t="str">
        <x:v>AE-NAV-003 - Verify manual scrolling down and back to the top without the arrow button</x:v>
      </x:c>
      <x:c r="D122" s="76" t="str">
        <x:v>Backlog</x:v>
      </x:c>
      <x:c r="E122" s="76" t="str">
        <x:v>Medium</x:v>
      </x:c>
      <x:c r="F122" s="76" t="str"/>
      <x:c r="G122" s="76" t="str"/>
      <x:c r="H122" s="76" t="str">
        <x:v>AE-NAV-003</x:v>
      </x:c>
      <x:c r="I122" s="76" t="str"/>
      <x:c r="J122" s="76" t="str">
        <x:v>Not Run</x:v>
      </x:c>
      <x:c r="K122" s="76" t="str">
        <x:v>Manual</x:v>
      </x:c>
      <x:c r="L122" s="76" t="str">
        <x:v>AEQA-26</x:v>
      </x:c>
      <x:c r="M122" s="76" t="str"/>
      <x:c r="N122" s="76" t="str">
        <x:v>10/Aug/26 9:00 PM</x:v>
      </x:c>
    </x:row>
  </x:sheetData>
  <x:mergeCells>
    <x:mergeCell ref="A1:N1"/>
    <x:mergeCell ref="A2:N2"/>
  </x:mergeCells>
  <x:conditionalFormatting sqref="D5:D122">
    <x:cfRule type="containsText" dxfId="86" priority="1" operator="containsText" text="Done"/>
  </x:conditionalFormatting>
  <x:conditionalFormatting sqref="J5:J122">
    <x:cfRule type="containsText" dxfId="87" priority="2" operator="containsText" text="Passed"/>
    <x:cfRule type="containsText" dxfId="88" priority="3" operator="containsText" text="Failed"/>
    <x:cfRule type="containsText" dxfId="89" priority="4" operator="containsText" text="Not Run"/>
  </x:conditionalFormatting>
  <x:pageMargins left="0.7" right="0.7" top="0.75" bottom="0.75" header="0.3" footer="0.3"/>
  <x:tableParts count="1">
    <x:tablePart xmlns:r="http://schemas.openxmlformats.org/officeDocument/2006/relationships" r:id="R7282cf0489fa4380"/>
  </x:tableParts>
</x:worksheet>
</file>