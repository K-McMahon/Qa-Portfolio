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kgmcm\OneDrive\Desktop\QA Portfolio\Qa-Portfolio\Automation Exercise Project\Test Plan\"/>
    </mc:Choice>
  </mc:AlternateContent>
  <xr:revisionPtr revIDLastSave="0" documentId="13_ncr:1_{360566F6-D2F3-4C16-A464-AB2E269BEE14}" xr6:coauthVersionLast="47" xr6:coauthVersionMax="47" xr10:uidLastSave="{00000000-0000-0000-0000-000000000000}"/>
  <bookViews>
    <workbookView xWindow="-110" yWindow="-110" windowWidth="38620" windowHeight="21100" activeTab="1" xr2:uid="{00000000-000D-0000-FFFF-FFFF00000000}"/>
  </bookViews>
  <sheets>
    <sheet name="Overview" sheetId="1" r:id="rId1"/>
    <sheet name="RTM" sheetId="2" r:id="rId2"/>
    <sheet name="Source Scenar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 i="1" l="1"/>
  <c r="B17" i="1"/>
  <c r="C16" i="1"/>
  <c r="B16" i="1"/>
  <c r="C15" i="1"/>
  <c r="B15" i="1"/>
  <c r="D11" i="1"/>
  <c r="C11" i="1"/>
  <c r="B11" i="1"/>
  <c r="D10" i="1"/>
  <c r="C10" i="1"/>
  <c r="B10" i="1"/>
  <c r="D9" i="1"/>
  <c r="C9" i="1"/>
  <c r="B9" i="1"/>
  <c r="M5" i="1"/>
  <c r="I5" i="1"/>
  <c r="E5" i="1"/>
  <c r="A5" i="1"/>
</calcChain>
</file>

<file path=xl/sharedStrings.xml><?xml version="1.0" encoding="utf-8"?>
<sst xmlns="http://schemas.openxmlformats.org/spreadsheetml/2006/main" count="464" uniqueCount="277">
  <si>
    <t>Automation Exercise — Requirements Traceability Matrix</t>
  </si>
  <si>
    <t>Total Requirements</t>
  </si>
  <si>
    <t>Fully Covered</t>
  </si>
  <si>
    <t>Partially Covered</t>
  </si>
  <si>
    <t>Not Covered</t>
  </si>
  <si>
    <t>Coverage Status</t>
  </si>
  <si>
    <t>Count</t>
  </si>
  <si>
    <t>Source Scenarios</t>
  </si>
  <si>
    <t>Tester-Derived</t>
  </si>
  <si>
    <t>Execution Status</t>
  </si>
  <si>
    <t>Defect-Linked</t>
  </si>
  <si>
    <t>Notes</t>
  </si>
  <si>
    <t>Pass</t>
  </si>
  <si>
    <t>Mapped requirements whose linked tests passed</t>
  </si>
  <si>
    <t>Fail</t>
  </si>
  <si>
    <t>Mapped requirements whose linked tests failed</t>
  </si>
  <si>
    <t>Not Run</t>
  </si>
  <si>
    <t>Requirements without executed coverage</t>
  </si>
  <si>
    <t>Coverage Assessment</t>
  </si>
  <si>
    <t>Current strength: registration, login, logout, account deletion, input validation, and account persistence.
Primary gaps: existing-email registration; contact form; products and search; subscriptions; cart operations; checkout variants; categories and brands; reviews; recommended items; invoice download; and scrolling.
Recommended next action: add AE-SIGNUP-005 for existing-email registration, then build focused product and cart coverage before tackling the three end-to-end checkout workflows.</t>
  </si>
  <si>
    <t>Requirements Traceability Matrix</t>
  </si>
  <si>
    <t>Coverage is assessed against the current test-case workbook. Source scenario wording and exact steps are preserved on the Source Scenarios worksheet.</t>
  </si>
  <si>
    <t>Requirement ID</t>
  </si>
  <si>
    <t>Requirement Source</t>
  </si>
  <si>
    <t>Source Scenario ID</t>
  </si>
  <si>
    <t>Feature</t>
  </si>
  <si>
    <t>Requirement / Scenario</t>
  </si>
  <si>
    <t>Mapped Test Case ID(s)</t>
  </si>
  <si>
    <t>Coverage Rationale</t>
  </si>
  <si>
    <t>Test Type</t>
  </si>
  <si>
    <t>Priority</t>
  </si>
  <si>
    <t>Defect ID(s)</t>
  </si>
  <si>
    <t>Gap / Recommended Action</t>
  </si>
  <si>
    <t>REQ-AUTH-001</t>
  </si>
  <si>
    <t>Site Scenario</t>
  </si>
  <si>
    <t>SRC-TC-01</t>
  </si>
  <si>
    <t>Registration</t>
  </si>
  <si>
    <t>Register User</t>
  </si>
  <si>
    <t>AE-SIGNUP-001
AE-SIGNUP-002
AE-ACCOUNT-001</t>
  </si>
  <si>
    <t>Registration and deletion are covered, but the complete continuous workflow and optional newsletter/partner selections are not documented.</t>
  </si>
  <si>
    <t>Functional — Positive</t>
  </si>
  <si>
    <t>Critical</t>
  </si>
  <si>
    <t>Add an end-to-end registration case or explicitly document why the workflow is decomposed. Verify newsletter and partner selections if they are in scope.</t>
  </si>
  <si>
    <t>REQ-AUTH-002</t>
  </si>
  <si>
    <t>SRC-TC-02</t>
  </si>
  <si>
    <t>Login / Account</t>
  </si>
  <si>
    <t>Login User with correct email and password</t>
  </si>
  <si>
    <t>AE-LOGIN-001
AE-ACCOUNT-001</t>
  </si>
  <si>
    <t>Valid login, username confirmation, and account deletion are covered across two focused test cases.</t>
  </si>
  <si>
    <t>No immediate gap. Maintain cross-reference between the two focused cases.</t>
  </si>
  <si>
    <t>REQ-AUTH-003</t>
  </si>
  <si>
    <t>SRC-TC-03</t>
  </si>
  <si>
    <t>Login</t>
  </si>
  <si>
    <t>Login User with incorrect email and password</t>
  </si>
  <si>
    <t>AE-LOGIN-003</t>
  </si>
  <si>
    <t>Incorrect password with a valid email is covered; an incorrect or unregistered email combined with an incorrect password is not separately documented.</t>
  </si>
  <si>
    <t>Functional — Negative</t>
  </si>
  <si>
    <t>High</t>
  </si>
  <si>
    <t>Add a case for an unregistered or incorrect email address.</t>
  </si>
  <si>
    <t>REQ-AUTH-004</t>
  </si>
  <si>
    <t>SRC-TC-04</t>
  </si>
  <si>
    <t>Logout</t>
  </si>
  <si>
    <t>Logout User</t>
  </si>
  <si>
    <t>AE-LOGOUT-001</t>
  </si>
  <si>
    <t>The source logout flow and additional browser-back session behavior were executed.</t>
  </si>
  <si>
    <t>AE-BUG-001
AE-BUG-002</t>
  </si>
  <si>
    <t>Retest after defects are corrected. Keep the additional browser-back check as enhanced coverage.</t>
  </si>
  <si>
    <t>REQ-AUTH-005</t>
  </si>
  <si>
    <t>SRC-TC-05</t>
  </si>
  <si>
    <t>Register User with existing email</t>
  </si>
  <si>
    <t>No current test case attempts registration with an already registered email address.</t>
  </si>
  <si>
    <t>Create AE-SIGNUP-005 for registration with an existing email.</t>
  </si>
  <si>
    <t>REQ-CONTACT-001</t>
  </si>
  <si>
    <t>SRC-TC-06</t>
  </si>
  <si>
    <t>Contact</t>
  </si>
  <si>
    <t>Contact Us Form</t>
  </si>
  <si>
    <t>No contact-form test exists.</t>
  </si>
  <si>
    <t>Medium</t>
  </si>
  <si>
    <t>Create a contact-form case covering file upload, confirmation dialog, success message, and return to Home.</t>
  </si>
  <si>
    <t>REQ-NAV-001</t>
  </si>
  <si>
    <t>SRC-TC-07</t>
  </si>
  <si>
    <t>Navigation</t>
  </si>
  <si>
    <t>Verify Test Cases Page</t>
  </si>
  <si>
    <t>No navigation test covers the Test Cases page.</t>
  </si>
  <si>
    <t>Low</t>
  </si>
  <si>
    <t>Create a navigation case for the Test Cases page.</t>
  </si>
  <si>
    <t>REQ-PRODUCT-001</t>
  </si>
  <si>
    <t>SRC-TC-08</t>
  </si>
  <si>
    <t>Products</t>
  </si>
  <si>
    <t>Verify All Products and product detail page</t>
  </si>
  <si>
    <t>No product-list or product-detail test exists.</t>
  </si>
  <si>
    <t>Create product-list and product-detail coverage.</t>
  </si>
  <si>
    <t>REQ-PRODUCT-002</t>
  </si>
  <si>
    <t>SRC-TC-09</t>
  </si>
  <si>
    <t>Search Product</t>
  </si>
  <si>
    <t>No product-search test exists.</t>
  </si>
  <si>
    <t>Create a product-search test and verify relevance of every returned item.</t>
  </si>
  <si>
    <t>REQ-SUB-001</t>
  </si>
  <si>
    <t>SRC-TC-10</t>
  </si>
  <si>
    <t>Subscription</t>
  </si>
  <si>
    <t>Verify Subscription in home page</t>
  </si>
  <si>
    <t>No homepage subscription test exists.</t>
  </si>
  <si>
    <t>Create homepage subscription coverage.</t>
  </si>
  <si>
    <t>REQ-SUB-002</t>
  </si>
  <si>
    <t>SRC-TC-11</t>
  </si>
  <si>
    <t>Verify Subscription in Cart page</t>
  </si>
  <si>
    <t>No cart-page subscription test exists.</t>
  </si>
  <si>
    <t>Create cart-page subscription coverage.</t>
  </si>
  <si>
    <t>REQ-CART-001</t>
  </si>
  <si>
    <t>SRC-TC-12</t>
  </si>
  <si>
    <t>Cart</t>
  </si>
  <si>
    <t>Add Products in Cart</t>
  </si>
  <si>
    <t>No two-product cart test exists.</t>
  </si>
  <si>
    <t>Create a cart test for two products, price, quantity, and total.</t>
  </si>
  <si>
    <t>REQ-CART-002</t>
  </si>
  <si>
    <t>SRC-TC-13</t>
  </si>
  <si>
    <t>Verify Product quantity in Cart</t>
  </si>
  <si>
    <t>No quantity-update test exists.</t>
  </si>
  <si>
    <t>Create a cart quantity case using quantity 4.</t>
  </si>
  <si>
    <t>REQ-ORDER-001</t>
  </si>
  <si>
    <t>SRC-TC-14</t>
  </si>
  <si>
    <t>Checkout</t>
  </si>
  <si>
    <t>Place Order: Register while Checkout</t>
  </si>
  <si>
    <t>No checkout registration-during-order workflow exists.</t>
  </si>
  <si>
    <t>End-to-End — Positive</t>
  </si>
  <si>
    <t>Create an end-to-end checkout case for registration during checkout.</t>
  </si>
  <si>
    <t>REQ-ORDER-002</t>
  </si>
  <si>
    <t>SRC-TC-15</t>
  </si>
  <si>
    <t>Place Order: Register before Checkout</t>
  </si>
  <si>
    <t>No register-before-checkout workflow exists.</t>
  </si>
  <si>
    <t>Create an end-to-end checkout case for registration before checkout.</t>
  </si>
  <si>
    <t>REQ-ORDER-003</t>
  </si>
  <si>
    <t>SRC-TC-16</t>
  </si>
  <si>
    <t>Place Order: Login before Checkout</t>
  </si>
  <si>
    <t>No login-before-checkout workflow exists.</t>
  </si>
  <si>
    <t>Create an end-to-end checkout case for login before checkout.</t>
  </si>
  <si>
    <t>REQ-CART-003</t>
  </si>
  <si>
    <t>SRC-TC-17</t>
  </si>
  <si>
    <t>Remove Products From Cart</t>
  </si>
  <si>
    <t>No remove-from-cart test exists.</t>
  </si>
  <si>
    <t>Create a remove-product-from-cart test.</t>
  </si>
  <si>
    <t>REQ-CATALOG-001</t>
  </si>
  <si>
    <t>SRC-TC-18</t>
  </si>
  <si>
    <t>Catalog</t>
  </si>
  <si>
    <t>View Category Products</t>
  </si>
  <si>
    <t>No category-navigation test exists.</t>
  </si>
  <si>
    <t>Create category and subcategory navigation coverage.</t>
  </si>
  <si>
    <t>REQ-CATALOG-002</t>
  </si>
  <si>
    <t>SRC-TC-19</t>
  </si>
  <si>
    <t>View &amp; Cart Brand Products</t>
  </si>
  <si>
    <t>No brand-navigation test exists.</t>
  </si>
  <si>
    <t>Create brand-list and brand-switching coverage.</t>
  </si>
  <si>
    <t>REQ-CART-004</t>
  </si>
  <si>
    <t>SRC-TC-20</t>
  </si>
  <si>
    <t>Search / Cart</t>
  </si>
  <si>
    <t>Search Products and Verify Cart After Login</t>
  </si>
  <si>
    <t>No cart-persistence-after-login workflow exists.</t>
  </si>
  <si>
    <t>Create search, cart, login, and cart-persistence coverage.</t>
  </si>
  <si>
    <t>REQ-REVIEW-001</t>
  </si>
  <si>
    <t>SRC-TC-21</t>
  </si>
  <si>
    <t>Product Review</t>
  </si>
  <si>
    <t>Add review on product</t>
  </si>
  <si>
    <t>No product-review test exists.</t>
  </si>
  <si>
    <t>Create product-review submission coverage.</t>
  </si>
  <si>
    <t>REQ-CART-005</t>
  </si>
  <si>
    <t>SRC-TC-22</t>
  </si>
  <si>
    <t>Recommended Items</t>
  </si>
  <si>
    <t>Add to cart from Recommended items</t>
  </si>
  <si>
    <t>No recommended-item cart test exists.</t>
  </si>
  <si>
    <t>Create recommended-item cart coverage.</t>
  </si>
  <si>
    <t>REQ-ORDER-004</t>
  </si>
  <si>
    <t>SRC-TC-23</t>
  </si>
  <si>
    <t>Verify address details in checkout page</t>
  </si>
  <si>
    <t>No billing/delivery address verification exists.</t>
  </si>
  <si>
    <t>Create checkout-address verification coverage.</t>
  </si>
  <si>
    <t>REQ-ORDER-005</t>
  </si>
  <si>
    <t>SRC-TC-24</t>
  </si>
  <si>
    <t>Checkout / Invoice</t>
  </si>
  <si>
    <t>Download Invoice after purchase order</t>
  </si>
  <si>
    <t>No invoice-download test exists.</t>
  </si>
  <si>
    <t>Create purchase and invoice-download coverage.</t>
  </si>
  <si>
    <t>REQ-NAV-002</t>
  </si>
  <si>
    <t>SRC-TC-25</t>
  </si>
  <si>
    <t>Verify Scroll Up using 'Arrow' button and Scroll Down functionality</t>
  </si>
  <si>
    <t>No arrow-assisted scrolling test exists.</t>
  </si>
  <si>
    <t>Create scroll-down and arrow-assisted scroll-up coverage.</t>
  </si>
  <si>
    <t>REQ-NAV-003</t>
  </si>
  <si>
    <t>SRC-TC-26</t>
  </si>
  <si>
    <t>Verify Scroll Up without 'Arrow' button and Scroll Down functionality</t>
  </si>
  <si>
    <t>No manual scroll-up test exists.</t>
  </si>
  <si>
    <t>Create manual scroll-down and scroll-up coverage.</t>
  </si>
  <si>
    <t>REQ-EXT-001</t>
  </si>
  <si>
    <t>CUSTOM-01</t>
  </si>
  <si>
    <t>Reject invalid email format during registration</t>
  </si>
  <si>
    <t>AE-SIGNUP-003</t>
  </si>
  <si>
    <t>Tester-derived negative validation coverage was executed successfully.</t>
  </si>
  <si>
    <t>Retain as enhanced coverage beyond the published scenarios.</t>
  </si>
  <si>
    <t>REQ-EXT-002</t>
  </si>
  <si>
    <t>CUSTOM-02</t>
  </si>
  <si>
    <t>Prevent account creation when required fields are blank</t>
  </si>
  <si>
    <t>AE-SIGNUP-004</t>
  </si>
  <si>
    <t>Tester-derived required-field validation was executed successfully.</t>
  </si>
  <si>
    <t>Consider splitting each required field into an independently traceable case.</t>
  </si>
  <si>
    <t>REQ-EXT-003</t>
  </si>
  <si>
    <t>CUSTOM-03</t>
  </si>
  <si>
    <t>Login Security</t>
  </si>
  <si>
    <t>Reject SQL injection input without authenticating the user</t>
  </si>
  <si>
    <t>AE-LOGIN-002</t>
  </si>
  <si>
    <t>Tester-derived security-focused input validation was executed successfully.</t>
  </si>
  <si>
    <t>Security — Negative</t>
  </si>
  <si>
    <t>Retain as authorized security coverage; do not use destructive payloads.</t>
  </si>
  <si>
    <t>REQ-EXT-004</t>
  </si>
  <si>
    <t>CUSTOM-04</t>
  </si>
  <si>
    <t>Account Management</t>
  </si>
  <si>
    <t>Preserve an active account across logout and a new browser tab</t>
  </si>
  <si>
    <t>AE-ACCOUNT-002</t>
  </si>
  <si>
    <t>Tester-derived account-persistence coverage was executed successfully.</t>
  </si>
  <si>
    <t>Retain as enhanced account-lifecycle coverage.</t>
  </si>
  <si>
    <t>Authoritative Source Scenarios</t>
  </si>
  <si>
    <t>Exact Scenario Title</t>
  </si>
  <si>
    <t>Step Count</t>
  </si>
  <si>
    <t>Exact Source Steps</t>
  </si>
  <si>
    <t>Test Case 1: Register User</t>
  </si>
  <si>
    <t>1. Launch browser
2. Navigate to url 'http://automationexercise.com'
3. Verify that home page is visible successfully
4. Click on 'Signup / Login' button
5. Verify 'New User Signup!' is visible
6. Enter name and email address
7. Click 'Signup' button
8. Verify that 'ENTER ACCOUNT INFORMATION' is visible
9. Fill details: Title, Name, Email, Password, Date of birth
10. Select checkbox 'Sign up for our newsletter!'
11. Select checkbox 'Receive special offers from our partners!'
12. Fill details: First name, Last name, Company, Address, Address2, Country, State, City, Zipcode, Mobile Number
13. Click 'Create Account button'
14. Verify that 'ACCOUNT CREATED!' is visible
15. Click 'Continue' button
16. Verify that 'Logged in as username' is visible
17. Click 'Delete Account' button
18. Verify that 'ACCOUNT DELETED!' is visible and click 'Continue' button</t>
  </si>
  <si>
    <t>Test Case 2: Login User with correct email and password</t>
  </si>
  <si>
    <t>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'Delete Account' button
10. Verify that 'ACCOUNT DELETED!' is visible</t>
  </si>
  <si>
    <t>Test Case 3: Login User with incorrect email and password</t>
  </si>
  <si>
    <t>1. Launch browser
2. Navigate to url 'http://automationexercise.com'
3. Verify that home page is visible successfully
4. Click on 'Signup / Login' button
5. Verify 'Login to your account' is visible
6. Enter incorrect email address and password
7. Click 'login' button
8. Verify error 'Your email or password is incorrect!' is visible</t>
  </si>
  <si>
    <t>Test Case 4: Logout User</t>
  </si>
  <si>
    <t>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'Logout' button
10. Verify that user is navigated to login page</t>
  </si>
  <si>
    <t>Test Case 5: Register User with existing email</t>
  </si>
  <si>
    <t>1. Launch browser
2. Navigate to url 'http://automationexercise.com'
3. Verify that home page is visible successfully
4. Click on 'Signup / Login' button
5. Verify 'New User Signup!' is visible
6. Enter name and already registered email address
7. Click 'Signup' button
8. Verify error 'Email Address already exist!' is visible</t>
  </si>
  <si>
    <t>Test Case 6: Contact Us Form</t>
  </si>
  <si>
    <t>1. Launch browser
2. Navigate to url 'http://automationexercise.com'
3. Verify that home page is visible successfully
4. Click on 'Contact Us' button
5. Verify 'GET IN TOUCH' is visible
6. Enter name, email, subject and message
7. Upload file
8. Click 'Submit' button
9. Click OK button
10. Verify success message 'Success! Your details have been submitted successfully.' is visible
11. Click 'Home' button and verify that landed to home page successfully</t>
  </si>
  <si>
    <t>Test Case 7: Verify Test Cases Page</t>
  </si>
  <si>
    <t>1. Launch browser
2. Navigate to url 'http://automationexercise.com'
3. Verify that home page is visible successfully
4. Click on 'Test Cases' button
5. Verify user is navigated to test cases page successfully</t>
  </si>
  <si>
    <t>Test Case 8: Verify All Products and product detail page</t>
  </si>
  <si>
    <t>1. Launch browser
2. Navigate to url 'http://automationexercise.com'
3. Verify that home page is visible successfully
4. Click on 'Products' button
5. Verify user is navigated to ALL PRODUCTS page successfully
6. The products list is visible
7. Click on 'View Product' of first product
8. User is landed to product detail page
9. Verify that detail detail is visible: product name, category, price, availability, condition, brand</t>
  </si>
  <si>
    <t>Test Case 9: Search Product</t>
  </si>
  <si>
    <t>1. Launch browser
2. Navigate to url 'http://automationexercise.com'
3. Verify that home page is visible successfully
4. Click on 'Products' button
5. Verify user is navigated to ALL PRODUCTS page successfully
6. Enter product name in search input and click search button
7. Verify 'SEARCHED PRODUCTS' is visible
8. Verify all the products related to search are visible</t>
  </si>
  <si>
    <t>Test Case 10: Verify Subscription in home page</t>
  </si>
  <si>
    <t>1. Launch browser
2. Navigate to url 'http://automationexercise.com'
3. Verify that home page is visible successfully
4. Scroll down to footer
5. Verify text 'SUBSCRIPTION'
6. Enter email address in input and click arrow button
7. Verify success message 'You have been successfully subscribed!' is visible</t>
  </si>
  <si>
    <t>Test Case 11: Verify Subscription in Cart page</t>
  </si>
  <si>
    <t>1. Launch browser
2. Navigate to url 'http://automationexercise.com'
3. Verify that home page is visible successfully
4. Click 'Cart' button
5. Scroll down to footer
6. Verify text 'SUBSCRIPTION'
7. Enter email address in input and click arrow button
8. Verify success message 'You have been successfully subscribed!' is visible</t>
  </si>
  <si>
    <t>Test Case 12: Add Products in Cart</t>
  </si>
  <si>
    <t>1. Launch browser
2. Navigate to url 'http://automationexercise.com'
3. Verify that home page is visible successfully
4. Click 'Products' button
5. Hover over first product and click 'Add to cart'
6. Click 'Continue Shopping' button
7. Hover over second product and click 'Add to cart'
8. Click 'View Cart' button
9. Verify both products are added to Cart
10. Verify their prices, quantity and total price</t>
  </si>
  <si>
    <t>Test Case 13: Verify Product quantity in Cart</t>
  </si>
  <si>
    <t>1. Launch browser
2. Navigate to url 'http://automationexercise.com'
3. Verify that home page is visible successfully
4. Click 'View Product' for any product on home page
5. Verify product detail is opened
6. Increase quantity to 4
7. Click 'Add to cart' button
8. Click 'View Cart' button
9. Verify that product is displayed in cart page with exact quantity</t>
  </si>
  <si>
    <t>Test Case 14: Place Order: Register while Checkout</t>
  </si>
  <si>
    <t>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'Delete Account' button
20. Verify 'ACCOUNT DELETED!' and click 'Continue' button</t>
  </si>
  <si>
    <t>Test Case 15: Place Order: Register before Checkout</t>
  </si>
  <si>
    <t>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Address Details and Review Your Order
13. Enter description in comment text area and click 'Place Order'
14. Enter payment details: Name on Card, Card Number, CVC, Expiration date
15. Click 'Pay and Confirm Order' button
16. Verify success message 'Your order has been placed successfully!'
17. Click 'Delete Account' button
18. Verify 'ACCOUNT DELETED!' and click 'Continue' button</t>
  </si>
  <si>
    <t>Test Case 16: Place Order: Login before Checkout</t>
  </si>
  <si>
    <t>1. Launch browser
2. Navigate to url 'http://automationexercise.com'
3. Verify that home page is visible successfully
4. Click 'Signup / Login' button
5. Fill email, password and click 'Login' button
6. Verify 'Logged in as username' at top
7. Add products to cart
8. Click 'Cart' button
9. Verify that cart page is displayed
10. Click Proceed To Checkout
11. Verify Address Details and Review Your Order
12. Enter description in comment text area and click 'Place Order'
13. Enter payment details: Name on Card, Card Number, CVC, Expiration date
14. Click 'Pay and Confirm Order' button
15. Verify success message 'Your order has been placed successfully!'
16. Click 'Delete Account' button
17. Verify 'ACCOUNT DELETED!' and click 'Continue' button</t>
  </si>
  <si>
    <t>Test Case 17: Remove Products From Cart</t>
  </si>
  <si>
    <t>1. Launch browser
2. Navigate to url 'http://automationexercise.com'
3. Verify that home page is visible successfully
4. Add products to cart
5. Click 'Cart' button
6. Verify that cart page is displayed
7. Click 'X' button corresponding to particular product
8. Verify that product is removed from the cart</t>
  </si>
  <si>
    <t>Test Case 18: View Category Products</t>
  </si>
  <si>
    <t>1. Launch browser
2. Navigate to url 'http://automationexercise.com'
3. Verify that categories are visible on left side bar
4. Click on 'Women' category
5. Click on any category link under 'Women' category, for example: Dress
6. Verify that category page is displayed and confirm text 'WOMEN - TOPS PRODUCTS'
7. On left side bar, click on any sub-category link of 'Men' category
8. Verify that user is navigated to that category page</t>
  </si>
  <si>
    <t>Test Case 19: View &amp; Cart Brand Products</t>
  </si>
  <si>
    <t>1. Launch browser
2. Navigate to url 'http://automationexercise.com'
3. Click on 'Products' button
4. Verify that Brands are visible on left side bar
5. Click on any brand name
6. Verify that user is navigated to brand page and brand products are displayed
7. On left side bar, click on any other brand link
8. Verify that user is navigated to that brand page and can see products</t>
  </si>
  <si>
    <t>Test Case 20: Search Products and Verify Cart After Login</t>
  </si>
  <si>
    <t>1. Launch browser
2. Navigate to url 'http://automationexercise.com'
3. Click on 'Products' button
4. Verify user is navigated to ALL PRODUCTS page successfully
5. Enter product name in search input and click search button
6. Verify 'SEARCHED PRODUCTS' is visible
7. Verify all the products related to search are visible
8. Add those products to cart
9. Click 'Cart' button and verify that products are visible in cart
10. Click 'Signup / Login' button and submit login details
11. Again, go to Cart page
12. Verify that those products are visible in cart after login as well</t>
  </si>
  <si>
    <t>Test Case 21: Add review on product</t>
  </si>
  <si>
    <t>1. Launch browser
2. Navigate to url 'http://automationexercise.com'
3. Click on 'Products' button
4. Verify user is navigated to ALL PRODUCTS page successfully
5. Click on 'View Product' button
6. Verify 'Write Your Review' is visible
7. Enter name, email and review
8. Click 'Submit' button
9. Verify success message 'Thank you for your review.'</t>
  </si>
  <si>
    <t>Test Case 22: Add to cart from Recommended items</t>
  </si>
  <si>
    <t>1. Launch browser
2. Navigate to url 'http://automationexercise.com'
3. Scroll to bottom of page
4. Verify 'RECOMMENDED ITEMS' are visible
5. Click on 'Add To Cart' on Recommended product
6. Click on 'View Cart' button
7. Verify that product is displayed in cart page</t>
  </si>
  <si>
    <t>Test Case 23: Verify address details in checkout page</t>
  </si>
  <si>
    <t>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that the delivery address is same address filled at the time registration of account
13. Verify that the billing address is same address filled at the time registration of account
14. Click 'Delete Account' button
15. Verify 'ACCOUNT DELETED!' and click 'Continue' button</t>
  </si>
  <si>
    <t>Test Case 24: Download Invoice after purchase order</t>
  </si>
  <si>
    <t>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'Download Invoice' button and verify invoice is downloaded successfully.
20. Click 'Continue' button
21. Click 'Delete Account' button
22. Verify 'ACCOUNT DELETED!' and click 'Continue' button</t>
  </si>
  <si>
    <t>Test Case 25: Verify Scroll Up using 'Arrow' button and Scroll Down functionality.</t>
  </si>
  <si>
    <t>1. Launch browser
2. Navigate to url 'http://automationexercise.com'
3. Verify that home page is visible successfully
4. Scroll down page to bottom
5. Verify 'SUBSCRIPTION' is visible
6. Click on arrow at bottom right side to move upward
7. Verify that page is scrolled up and 'Full-Fledged practice website for Automation Engineers' text is visible on screen</t>
  </si>
  <si>
    <t>Test Case 26: Verify Scroll Up without 'Arrow' button and Scroll Down functionality.</t>
  </si>
  <si>
    <t>1. Launch browser
2. Navigate to url 'http://automationexercise.com'
3. Verify that home page is visible successfully
4. Scroll down page to bottom
5. Verify 'SUBSCRIPTION' is visible
6. Scroll up page to top
7. Verify that page is scrolled up and 'Full-Fledged practice website for Automation Engineers' text is visible on screen</t>
  </si>
  <si>
    <t>Exact scenario titles and step sequences transcribed from the Automation Exercise website</t>
  </si>
  <si>
    <t>Cross-reference of 26 authoritative Automation Exercise UI scenarios and 4 tester-derived requirements against the current 10 manual test cases</t>
  </si>
  <si>
    <t>Coverage rule: Fully Covered means every material behavior in the requirement is mapped to one or more existing test cases. Partially Covered means some, but not all material behavior is mapped. Not Covered means no existing case verifies the requirement.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</si>
</sst>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name val="Carlito"/>
    </font>
    <font>
      <b/>
      <sz val="18"/>
      <color rgb="FFFFFFFF"/>
      <name val="Carlito"/>
    </font>
    <font>
      <i/>
      <sz val="10"/>
      <color rgb="FF1F2937"/>
      <name val="Carlito"/>
    </font>
    <font>
      <b/>
      <sz val="10"/>
      <color rgb="FFFFFFFF"/>
      <name val="Carlito"/>
    </font>
    <font>
      <b/>
      <sz val="22"/>
      <color rgb="FF17365D"/>
      <name val="Carlito"/>
    </font>
    <font>
      <sz val="10"/>
      <color rgb="FF1F2937"/>
      <name val="Carlito"/>
    </font>
    <font>
      <b/>
      <sz val="12"/>
      <color rgb="FFFFFFFF"/>
      <name val="Carlito"/>
    </font>
    <font>
      <sz val="11"/>
      <color rgb="FF1F2937"/>
      <name val="Carlito"/>
    </font>
    <font>
      <i/>
      <sz val="10"/>
      <color rgb="FF7F6000"/>
      <name val="Carlito"/>
    </font>
    <font>
      <u/>
      <sz val="11"/>
      <color theme="10"/>
      <name val="Carlito"/>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2F75B5"/>
      </patternFill>
    </fill>
    <fill>
      <patternFill patternType="solid">
        <fgColor rgb="FFF4F6F8"/>
      </patternFill>
    </fill>
    <fill>
      <patternFill patternType="solid">
        <fgColor rgb="FFEAF3F8"/>
      </patternFill>
    </fill>
    <fill>
      <patternFill patternType="solid">
        <fgColor rgb="FFFFF2CC"/>
      </patternFill>
    </fill>
  </fills>
  <borders count="24">
    <border>
      <left/>
      <right/>
      <top/>
      <bottom/>
      <diagonal/>
    </border>
    <border>
      <left style="thin">
        <color rgb="FFC9D2DC"/>
      </left>
      <right/>
      <top style="thin">
        <color rgb="FFC9D2DC"/>
      </top>
      <bottom/>
      <diagonal/>
    </border>
    <border>
      <left/>
      <right/>
      <top style="thin">
        <color rgb="FFC9D2DC"/>
      </top>
      <bottom/>
      <diagonal/>
    </border>
    <border>
      <left/>
      <right style="thin">
        <color rgb="FFC9D2DC"/>
      </right>
      <top style="thin">
        <color rgb="FFC9D2DC"/>
      </top>
      <bottom/>
      <diagonal/>
    </border>
    <border>
      <left style="thin">
        <color rgb="FFC9D2DC"/>
      </left>
      <right/>
      <top/>
      <bottom style="thin">
        <color rgb="FFC9D2DC"/>
      </bottom>
      <diagonal/>
    </border>
    <border>
      <left/>
      <right/>
      <top/>
      <bottom style="thin">
        <color rgb="FFC9D2DC"/>
      </bottom>
      <diagonal/>
    </border>
    <border>
      <left/>
      <right style="thin">
        <color rgb="FFC9D2DC"/>
      </right>
      <top/>
      <bottom style="thin">
        <color rgb="FFC9D2DC"/>
      </bottom>
      <diagonal/>
    </border>
    <border>
      <left style="thin">
        <color rgb="FFC9D2DC"/>
      </left>
      <right/>
      <top/>
      <bottom/>
      <diagonal/>
    </border>
    <border>
      <left/>
      <right style="thin">
        <color rgb="FFC9D2DC"/>
      </right>
      <top/>
      <bottom/>
      <diagonal/>
    </border>
    <border>
      <left style="thin">
        <color rgb="FFD6B656"/>
      </left>
      <right/>
      <top style="thin">
        <color rgb="FFD6B656"/>
      </top>
      <bottom/>
      <diagonal/>
    </border>
    <border>
      <left/>
      <right/>
      <top style="thin">
        <color rgb="FFD6B656"/>
      </top>
      <bottom/>
      <diagonal/>
    </border>
    <border>
      <left/>
      <right style="thin">
        <color rgb="FFD6B656"/>
      </right>
      <top style="thin">
        <color rgb="FFD6B656"/>
      </top>
      <bottom/>
      <diagonal/>
    </border>
    <border>
      <left style="thin">
        <color rgb="FFD6B656"/>
      </left>
      <right/>
      <top/>
      <bottom style="thin">
        <color rgb="FFD6B656"/>
      </bottom>
      <diagonal/>
    </border>
    <border>
      <left/>
      <right/>
      <top/>
      <bottom style="thin">
        <color rgb="FFD6B656"/>
      </bottom>
      <diagonal/>
    </border>
    <border>
      <left/>
      <right style="thin">
        <color rgb="FFD6B656"/>
      </right>
      <top/>
      <bottom style="thin">
        <color rgb="FFD6B656"/>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9" fillId="0" borderId="0" applyNumberFormat="0" applyFill="0" applyBorder="0" applyAlignment="0" applyProtection="0"/>
  </cellStyleXfs>
  <cellXfs count="59">
    <xf numFmtId="0" fontId="0" fillId="0" borderId="0" xfId="0"/>
    <xf numFmtId="0" fontId="5" fillId="0" borderId="7" xfId="0" applyFont="1" applyBorder="1" applyAlignment="1">
      <alignment horizontal="center" vertical="center"/>
    </xf>
    <xf numFmtId="0" fontId="5" fillId="0" borderId="0" xfId="0" applyFont="1" applyAlignment="1">
      <alignment horizontal="center" vertical="center"/>
    </xf>
    <xf numFmtId="0" fontId="5" fillId="0" borderId="8" xfId="0" applyFont="1" applyBorder="1" applyAlignment="1">
      <alignment horizontal="center" vertical="center"/>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5" fillId="0" borderId="6" xfId="0" applyFont="1" applyBorder="1" applyAlignment="1">
      <alignment horizontal="center" vertical="center"/>
    </xf>
    <xf numFmtId="0" fontId="3" fillId="4" borderId="1" xfId="0" applyFont="1" applyFill="1" applyBorder="1" applyAlignment="1">
      <alignment horizontal="center" vertical="center"/>
    </xf>
    <xf numFmtId="0" fontId="3" fillId="4" borderId="2" xfId="0" applyFont="1" applyFill="1" applyBorder="1" applyAlignment="1">
      <alignment horizontal="center" vertical="center"/>
    </xf>
    <xf numFmtId="0" fontId="3" fillId="4" borderId="3" xfId="0" applyFont="1" applyFill="1" applyBorder="1" applyAlignment="1">
      <alignment horizontal="center" vertical="center"/>
    </xf>
    <xf numFmtId="0" fontId="5" fillId="0" borderId="7" xfId="0" applyFont="1" applyBorder="1" applyAlignment="1">
      <alignment horizontal="center" vertical="center" wrapText="1"/>
    </xf>
    <xf numFmtId="0" fontId="5" fillId="0" borderId="0" xfId="0" applyFont="1" applyAlignment="1">
      <alignment horizontal="center" vertical="center" wrapText="1"/>
    </xf>
    <xf numFmtId="0" fontId="5" fillId="0" borderId="8" xfId="0" applyFont="1" applyBorder="1" applyAlignment="1">
      <alignment horizontal="center" vertical="center" wrapText="1"/>
    </xf>
    <xf numFmtId="0" fontId="5" fillId="0" borderId="4" xfId="0" applyFont="1" applyBorder="1" applyAlignment="1">
      <alignment horizontal="center" vertical="center" wrapText="1"/>
    </xf>
    <xf numFmtId="0" fontId="5" fillId="0" borderId="5" xfId="0" applyFont="1" applyBorder="1" applyAlignment="1">
      <alignment horizontal="center" vertical="center" wrapText="1"/>
    </xf>
    <xf numFmtId="0" fontId="5" fillId="0" borderId="6" xfId="0" applyFont="1" applyBorder="1" applyAlignment="1">
      <alignment horizontal="center" vertical="center" wrapText="1"/>
    </xf>
    <xf numFmtId="0" fontId="3" fillId="4" borderId="1" xfId="0" applyFont="1" applyFill="1" applyBorder="1" applyAlignment="1">
      <alignment horizontal="center" vertical="center" wrapText="1"/>
    </xf>
    <xf numFmtId="0" fontId="3" fillId="4" borderId="2" xfId="0" applyFont="1" applyFill="1" applyBorder="1" applyAlignment="1">
      <alignment horizontal="center" vertical="center" wrapText="1"/>
    </xf>
    <xf numFmtId="0" fontId="3" fillId="4" borderId="3" xfId="0" applyFont="1" applyFill="1" applyBorder="1" applyAlignment="1">
      <alignment horizontal="center" vertical="center" wrapText="1"/>
    </xf>
    <xf numFmtId="0" fontId="1" fillId="2" borderId="0" xfId="0" applyFont="1" applyFill="1" applyAlignment="1">
      <alignment horizontal="center" vertical="center"/>
    </xf>
    <xf numFmtId="0" fontId="2" fillId="3" borderId="0" xfId="0" applyFont="1" applyFill="1" applyAlignment="1">
      <alignment horizontal="center" vertical="center"/>
    </xf>
    <xf numFmtId="0" fontId="3" fillId="4" borderId="0" xfId="0" applyFont="1" applyFill="1" applyAlignment="1">
      <alignment horizontal="center" vertical="center"/>
    </xf>
    <xf numFmtId="0" fontId="4" fillId="5" borderId="1" xfId="0" applyFont="1" applyFill="1" applyBorder="1" applyAlignment="1">
      <alignment horizontal="center" vertical="center"/>
    </xf>
    <xf numFmtId="0" fontId="4" fillId="5" borderId="2" xfId="0" applyFont="1" applyFill="1" applyBorder="1" applyAlignment="1">
      <alignment horizontal="center" vertical="center"/>
    </xf>
    <xf numFmtId="0" fontId="4" fillId="5" borderId="3" xfId="0" applyFont="1" applyFill="1" applyBorder="1" applyAlignment="1">
      <alignment horizontal="center" vertical="center"/>
    </xf>
    <xf numFmtId="0" fontId="4" fillId="5" borderId="4" xfId="0" applyFont="1" applyFill="1" applyBorder="1" applyAlignment="1">
      <alignment horizontal="center" vertical="center"/>
    </xf>
    <xf numFmtId="0" fontId="4" fillId="5" borderId="5" xfId="0" applyFont="1" applyFill="1" applyBorder="1" applyAlignment="1">
      <alignment horizontal="center" vertical="center"/>
    </xf>
    <xf numFmtId="0" fontId="4" fillId="5" borderId="6" xfId="0" applyFont="1" applyFill="1" applyBorder="1" applyAlignment="1">
      <alignment horizontal="center" vertical="center"/>
    </xf>
    <xf numFmtId="0" fontId="6" fillId="2" borderId="0" xfId="0" applyFont="1" applyFill="1" applyAlignment="1">
      <alignment vertical="center"/>
    </xf>
    <xf numFmtId="0" fontId="7" fillId="6" borderId="1" xfId="0" applyFont="1" applyFill="1" applyBorder="1" applyAlignment="1">
      <alignment vertical="top" wrapText="1"/>
    </xf>
    <xf numFmtId="0" fontId="7" fillId="6" borderId="2" xfId="0" applyFont="1" applyFill="1" applyBorder="1" applyAlignment="1">
      <alignment vertical="top" wrapText="1"/>
    </xf>
    <xf numFmtId="0" fontId="7" fillId="6" borderId="3" xfId="0" applyFont="1" applyFill="1" applyBorder="1" applyAlignment="1">
      <alignment vertical="top" wrapText="1"/>
    </xf>
    <xf numFmtId="0" fontId="7" fillId="6" borderId="7" xfId="0" applyFont="1" applyFill="1" applyBorder="1" applyAlignment="1">
      <alignment vertical="top" wrapText="1"/>
    </xf>
    <xf numFmtId="0" fontId="7" fillId="6" borderId="0" xfId="0" applyFont="1" applyFill="1" applyAlignment="1">
      <alignment vertical="top" wrapText="1"/>
    </xf>
    <xf numFmtId="0" fontId="7" fillId="6" borderId="8" xfId="0" applyFont="1" applyFill="1" applyBorder="1" applyAlignment="1">
      <alignment vertical="top" wrapText="1"/>
    </xf>
    <xf numFmtId="0" fontId="7" fillId="6" borderId="4" xfId="0" applyFont="1" applyFill="1" applyBorder="1" applyAlignment="1">
      <alignment vertical="top" wrapText="1"/>
    </xf>
    <xf numFmtId="0" fontId="7" fillId="6" borderId="5" xfId="0" applyFont="1" applyFill="1" applyBorder="1" applyAlignment="1">
      <alignment vertical="top" wrapText="1"/>
    </xf>
    <xf numFmtId="0" fontId="7" fillId="6" borderId="6" xfId="0" applyFont="1" applyFill="1" applyBorder="1" applyAlignment="1">
      <alignment vertical="top" wrapText="1"/>
    </xf>
    <xf numFmtId="0" fontId="8" fillId="7" borderId="9" xfId="0" applyFont="1" applyFill="1" applyBorder="1" applyAlignment="1">
      <alignment vertical="center" wrapText="1"/>
    </xf>
    <xf numFmtId="0" fontId="8" fillId="7" borderId="10" xfId="0" applyFont="1" applyFill="1" applyBorder="1" applyAlignment="1">
      <alignment vertical="center" wrapText="1"/>
    </xf>
    <xf numFmtId="0" fontId="8" fillId="7" borderId="11" xfId="0" applyFont="1" applyFill="1" applyBorder="1" applyAlignment="1">
      <alignment vertical="center" wrapText="1"/>
    </xf>
    <xf numFmtId="0" fontId="8" fillId="7" borderId="12" xfId="0" applyFont="1" applyFill="1" applyBorder="1" applyAlignment="1">
      <alignment vertical="center" wrapText="1"/>
    </xf>
    <xf numFmtId="0" fontId="8" fillId="7" borderId="13" xfId="0" applyFont="1" applyFill="1" applyBorder="1" applyAlignment="1">
      <alignment vertical="center" wrapText="1"/>
    </xf>
    <xf numFmtId="0" fontId="8" fillId="7" borderId="14" xfId="0" applyFont="1" applyFill="1" applyBorder="1" applyAlignment="1">
      <alignment vertical="center" wrapText="1"/>
    </xf>
    <xf numFmtId="0" fontId="3" fillId="4" borderId="16"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5" fillId="0" borderId="19" xfId="0" applyFont="1" applyBorder="1" applyAlignment="1">
      <alignment horizontal="center" vertical="top" wrapText="1"/>
    </xf>
    <xf numFmtId="0" fontId="5" fillId="0" borderId="15" xfId="0" applyFont="1" applyBorder="1" applyAlignment="1">
      <alignment horizontal="center" vertical="top" wrapText="1"/>
    </xf>
    <xf numFmtId="0" fontId="9" fillId="0" borderId="15" xfId="1" applyBorder="1" applyAlignment="1">
      <alignment horizontal="center" vertical="top" wrapText="1"/>
    </xf>
    <xf numFmtId="0" fontId="5" fillId="0" borderId="15" xfId="0" applyFont="1" applyBorder="1" applyAlignment="1">
      <alignment vertical="top" wrapText="1"/>
    </xf>
    <xf numFmtId="0" fontId="5" fillId="0" borderId="20" xfId="0" applyFont="1" applyBorder="1" applyAlignment="1">
      <alignment horizontal="center" vertical="top" wrapText="1"/>
    </xf>
    <xf numFmtId="0" fontId="5" fillId="0" borderId="21" xfId="0" applyFont="1" applyBorder="1" applyAlignment="1">
      <alignment horizontal="center" vertical="top" wrapText="1"/>
    </xf>
    <xf numFmtId="0" fontId="5" fillId="0" borderId="22" xfId="0" applyFont="1" applyBorder="1" applyAlignment="1">
      <alignment horizontal="center" vertical="top" wrapText="1"/>
    </xf>
    <xf numFmtId="0" fontId="5" fillId="0" borderId="22" xfId="0" applyFont="1" applyBorder="1" applyAlignment="1">
      <alignment vertical="top" wrapText="1"/>
    </xf>
    <xf numFmtId="0" fontId="5" fillId="0" borderId="23" xfId="0" applyFont="1" applyBorder="1" applyAlignment="1">
      <alignment horizontal="center" vertical="top" wrapText="1"/>
    </xf>
    <xf numFmtId="0" fontId="9" fillId="0" borderId="22" xfId="1" applyBorder="1" applyAlignment="1">
      <alignment horizontal="center" vertical="top" wrapText="1"/>
    </xf>
    <xf numFmtId="0" fontId="5" fillId="0" borderId="20" xfId="0" applyFont="1" applyBorder="1" applyAlignment="1">
      <alignment vertical="top" wrapText="1"/>
    </xf>
    <xf numFmtId="0" fontId="5" fillId="0" borderId="23" xfId="0" applyFont="1" applyBorder="1" applyAlignment="1">
      <alignment vertical="top" wrapText="1"/>
    </xf>
  </cellXfs>
  <cellStyles count="2">
    <cellStyle name="Hyperlink" xfId="1" builtinId="8"/>
    <cellStyle name="Normal" xfId="0" builtinId="0"/>
  </cellStyles>
  <dxfs count="31">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diagonalUp="0" diagonalDown="0">
        <left style="thin">
          <color indexed="64"/>
        </left>
        <right style="thin">
          <color indexed="64"/>
        </right>
        <top style="thin">
          <color indexed="64"/>
        </top>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diagonalUp="0" diagonalDown="0">
        <left style="thin">
          <color indexed="64"/>
        </left>
        <right style="thin">
          <color indexed="64"/>
        </right>
        <top style="thin">
          <color indexed="64"/>
        </top>
        <bottom style="thin">
          <color indexed="64"/>
        </bottom>
      </border>
    </dxf>
    <dxf>
      <font>
        <color rgb="FF595959"/>
      </font>
      <fill>
        <patternFill patternType="solid">
          <bgColor rgb="FFE7E6E6"/>
        </patternFill>
      </fill>
    </dxf>
    <dxf>
      <font>
        <b/>
        <color rgb="FF9C0006"/>
      </font>
      <fill>
        <patternFill patternType="solid">
          <bgColor rgb="FFFCE4D6"/>
        </patternFill>
      </fill>
    </dxf>
    <dxf>
      <font>
        <b/>
        <color rgb="FF375623"/>
      </font>
      <fill>
        <patternFill patternType="solid">
          <bgColor rgb="FFE2F0D9"/>
        </patternFill>
      </fill>
    </dxf>
    <dxf>
      <font>
        <b/>
        <color rgb="FF9C0006"/>
      </font>
      <fill>
        <patternFill patternType="solid">
          <bgColor rgb="FFFCE4D6"/>
        </patternFill>
      </fill>
    </dxf>
    <dxf>
      <font>
        <b/>
        <color rgb="FF7F6000"/>
      </font>
      <fill>
        <patternFill patternType="solid">
          <bgColor rgb="FFFFF2CC"/>
        </patternFill>
      </fill>
    </dxf>
    <dxf>
      <font>
        <b/>
        <color rgb="FF375623"/>
      </font>
      <fill>
        <patternFill patternType="solid">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Overall Requirement Coverage</a:t>
            </a:r>
          </a:p>
        </c:rich>
      </c:tx>
      <c:overlay val="0"/>
    </c:title>
    <c:autoTitleDeleted val="0"/>
    <c:plotArea>
      <c:layout/>
      <c:barChart>
        <c:barDir val="col"/>
        <c:grouping val="clustered"/>
        <c:varyColors val="0"/>
        <c:ser>
          <c:idx val="0"/>
          <c:order val="0"/>
          <c:tx>
            <c:v>Count</c:v>
          </c:tx>
          <c:invertIfNegative val="1"/>
          <c:cat>
            <c:strRef>
              <c:f>Overview!$A$9:$A$11</c:f>
              <c:strCache>
                <c:ptCount val="3"/>
                <c:pt idx="0">
                  <c:v>Fully Covered</c:v>
                </c:pt>
                <c:pt idx="1">
                  <c:v>Partially Covered</c:v>
                </c:pt>
                <c:pt idx="2">
                  <c:v>Not Covered</c:v>
                </c:pt>
              </c:strCache>
            </c:strRef>
          </c:cat>
          <c:val>
            <c:numRef>
              <c:f>Overview!$B$9:$B$11</c:f>
              <c:numCache>
                <c:formatCode>General</c:formatCode>
                <c:ptCount val="3"/>
                <c:pt idx="0">
                  <c:v>6</c:v>
                </c:pt>
                <c:pt idx="1">
                  <c:v>2</c:v>
                </c:pt>
                <c:pt idx="2">
                  <c:v>22</c:v>
                </c:pt>
              </c:numCache>
            </c:numRef>
          </c:val>
          <c:extLst>
            <c:ext xmlns:c16="http://schemas.microsoft.com/office/drawing/2014/chart" uri="{C3380CC4-5D6E-409C-BE32-E72D297353CC}">
              <c16:uniqueId val="{00000000-E424-416F-B9A9-B9E704DC5583}"/>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0</xdr:colOff>
      <xdr:row>7</xdr:row>
      <xdr:rowOff>0</xdr:rowOff>
    </xdr:from>
    <xdr:to>
      <xdr:col>13</xdr:col>
      <xdr:colOff>965200</xdr:colOff>
      <xdr:row>18</xdr:row>
      <xdr:rowOff>12700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quirementsTraceability" displayName="RequirementsTraceability" ref="A7:M37" headerRowDxfId="9" totalsRowDxfId="8" headerRowBorderDxfId="23" tableBorderDxfId="24">
  <autoFilter ref="A7:M37" xr:uid="{00000000-0009-0000-0100-000001000000}"/>
  <tableColumns count="13">
    <tableColumn id="1" xr3:uid="{00000000-0010-0000-0000-000001000000}" name="Requirement ID" dataDxfId="22"/>
    <tableColumn id="2" xr3:uid="{00000000-0010-0000-0000-000002000000}" name="Requirement Source" dataDxfId="21"/>
    <tableColumn id="3" xr3:uid="{00000000-0010-0000-0000-000003000000}" name="Source Scenario ID" dataDxfId="20" dataCellStyle="Hyperlink"/>
    <tableColumn id="4" xr3:uid="{00000000-0010-0000-0000-000004000000}" name="Feature" dataDxfId="19"/>
    <tableColumn id="5" xr3:uid="{00000000-0010-0000-0000-000005000000}" name="Requirement / Scenario" dataDxfId="18"/>
    <tableColumn id="6" xr3:uid="{00000000-0010-0000-0000-000006000000}" name="Mapped Test Case ID(s)" dataDxfId="17"/>
    <tableColumn id="7" xr3:uid="{00000000-0010-0000-0000-000007000000}" name="Coverage Status" dataDxfId="16"/>
    <tableColumn id="8" xr3:uid="{00000000-0010-0000-0000-000008000000}" name="Coverage Rationale" dataDxfId="15"/>
    <tableColumn id="9" xr3:uid="{00000000-0010-0000-0000-000009000000}" name="Test Type" dataDxfId="14"/>
    <tableColumn id="10" xr3:uid="{00000000-0010-0000-0000-00000A000000}" name="Priority" dataDxfId="13"/>
    <tableColumn id="11" xr3:uid="{00000000-0010-0000-0000-00000B000000}" name="Execution Status" dataDxfId="12"/>
    <tableColumn id="12" xr3:uid="{00000000-0010-0000-0000-00000C000000}" name="Defect ID(s)" dataDxfId="11"/>
    <tableColumn id="13" xr3:uid="{00000000-0010-0000-0000-00000D000000}" name="Gap / Recommended Action" dataDxfId="1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ourceScenarioRegister" displayName="SourceScenarioRegister" ref="A4:D30" headerRowDxfId="1" totalsRowDxfId="0" headerRowBorderDxfId="6" tableBorderDxfId="7">
  <autoFilter ref="A4:D30" xr:uid="{00000000-0009-0000-0100-000002000000}"/>
  <sortState xmlns:xlrd2="http://schemas.microsoft.com/office/spreadsheetml/2017/richdata2" ref="A5:D30">
    <sortCondition ref="A4:A30"/>
  </sortState>
  <tableColumns count="4">
    <tableColumn id="1" xr3:uid="{00000000-0010-0000-0100-000001000000}" name="Source Scenario ID" dataDxfId="5"/>
    <tableColumn id="2" xr3:uid="{00000000-0010-0000-0100-000002000000}" name="Exact Scenario Title" dataDxfId="4"/>
    <tableColumn id="3" xr3:uid="{00000000-0010-0000-0100-000003000000}" name="Step Count" dataDxfId="3"/>
    <tableColumn id="4" xr3:uid="{00000000-0010-0000-0100-000004000000}" name="Exact Source Steps" dataDxfId="2"/>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Test%20Cases\Automation%20Exercise%20Signup%20and%20Login%20Test%20Cases.xlsx" TargetMode="External"/><Relationship Id="rId3" Type="http://schemas.openxmlformats.org/officeDocument/2006/relationships/hyperlink" Target="..\Test%20Cases\Automation%20Exercise%20Signup%20and%20Login%20Test%20Cases.xlsx" TargetMode="External"/><Relationship Id="rId7" Type="http://schemas.openxmlformats.org/officeDocument/2006/relationships/hyperlink" Target="..\Test%20Cases\Automation%20Exercise%20Signup%20and%20Login%20Test%20Cases.xlsx" TargetMode="External"/><Relationship Id="rId2" Type="http://schemas.openxmlformats.org/officeDocument/2006/relationships/hyperlink" Target="..\Test%20Cases\Automation%20Exercise%20Signup%20and%20Login%20Test%20Cases.xlsx" TargetMode="External"/><Relationship Id="rId1" Type="http://schemas.openxmlformats.org/officeDocument/2006/relationships/hyperlink" Target="..\Test%20Cases\Automation%20Exercise%20Signup%20and%20Login%20Test%20Cases.xlsx" TargetMode="External"/><Relationship Id="rId6" Type="http://schemas.openxmlformats.org/officeDocument/2006/relationships/hyperlink" Target="..\Test%20Cases\Automation%20Exercise%20Signup%20and%20Login%20Test%20Cases.xlsx" TargetMode="External"/><Relationship Id="rId5" Type="http://schemas.openxmlformats.org/officeDocument/2006/relationships/hyperlink" Target="..\Bug%20Report\Automation%20Exercise%20Defect%20Log.xlsx" TargetMode="External"/><Relationship Id="rId10" Type="http://schemas.openxmlformats.org/officeDocument/2006/relationships/table" Target="../tables/table1.xml"/><Relationship Id="rId4" Type="http://schemas.openxmlformats.org/officeDocument/2006/relationships/hyperlink" Target="..\Test%20Cases\Automation%20Exercise%20Signup%20and%20Login%20Test%20Cases.xlsx" TargetMode="External"/><Relationship Id="rId9" Type="http://schemas.openxmlformats.org/officeDocument/2006/relationships/hyperlink" Target="..\Test%20Cases\Automation%20Exercise%20Signup%20and%20Login%20Test%20Cases.xlsx"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5"/>
  <sheetViews>
    <sheetView showGridLines="0" workbookViewId="0">
      <selection activeCell="A2" sqref="A2:N2"/>
    </sheetView>
  </sheetViews>
  <sheetFormatPr defaultRowHeight="14"/>
  <cols>
    <col min="1" max="1" width="21" customWidth="1"/>
    <col min="2" max="2" width="13" customWidth="1"/>
    <col min="3" max="3" width="14.75" customWidth="1"/>
    <col min="4" max="4" width="28" customWidth="1"/>
    <col min="5" max="14" width="13" customWidth="1"/>
  </cols>
  <sheetData>
    <row r="1" spans="1:14" ht="36" customHeight="1">
      <c r="A1" s="19" t="s">
        <v>0</v>
      </c>
      <c r="B1" s="19"/>
      <c r="C1" s="19"/>
      <c r="D1" s="19"/>
      <c r="E1" s="19"/>
      <c r="F1" s="19"/>
      <c r="G1" s="19"/>
      <c r="H1" s="19"/>
      <c r="I1" s="19"/>
      <c r="J1" s="19"/>
      <c r="K1" s="19"/>
      <c r="L1" s="19"/>
      <c r="M1" s="19"/>
      <c r="N1" s="19"/>
    </row>
    <row r="2" spans="1:14" ht="24" customHeight="1">
      <c r="A2" s="20" t="s">
        <v>275</v>
      </c>
      <c r="B2" s="20"/>
      <c r="C2" s="20"/>
      <c r="D2" s="20"/>
      <c r="E2" s="20"/>
      <c r="F2" s="20"/>
      <c r="G2" s="20"/>
      <c r="H2" s="20"/>
      <c r="I2" s="20"/>
      <c r="J2" s="20"/>
      <c r="K2" s="20"/>
      <c r="L2" s="20"/>
      <c r="M2" s="20"/>
      <c r="N2" s="20"/>
    </row>
    <row r="4" spans="1:14">
      <c r="A4" s="21" t="s">
        <v>1</v>
      </c>
      <c r="B4" s="21"/>
      <c r="C4" s="21"/>
      <c r="E4" s="21" t="s">
        <v>2</v>
      </c>
      <c r="F4" s="21"/>
      <c r="G4" s="21"/>
      <c r="I4" s="21" t="s">
        <v>3</v>
      </c>
      <c r="J4" s="21"/>
      <c r="K4" s="21"/>
      <c r="M4" s="21" t="s">
        <v>4</v>
      </c>
      <c r="N4" s="21"/>
    </row>
    <row r="5" spans="1:14">
      <c r="A5" s="22">
        <f>COUNTA(RTM!A8:A107)</f>
        <v>30</v>
      </c>
      <c r="B5" s="23"/>
      <c r="C5" s="24"/>
      <c r="E5" s="22">
        <f>COUNTIF(RTM!G8:G107,"Fully Covered")</f>
        <v>6</v>
      </c>
      <c r="F5" s="23"/>
      <c r="G5" s="24"/>
      <c r="I5" s="22">
        <f>COUNTIF(RTM!G8:G107,"Partially Covered")</f>
        <v>2</v>
      </c>
      <c r="J5" s="23"/>
      <c r="K5" s="24"/>
      <c r="M5" s="22">
        <f>COUNTIF(RTM!G8:G107,"Not Covered")</f>
        <v>22</v>
      </c>
      <c r="N5" s="24"/>
    </row>
    <row r="6" spans="1:14">
      <c r="A6" s="25"/>
      <c r="B6" s="26"/>
      <c r="C6" s="27"/>
      <c r="E6" s="25"/>
      <c r="F6" s="26"/>
      <c r="G6" s="27"/>
      <c r="I6" s="25"/>
      <c r="J6" s="26"/>
      <c r="K6" s="27"/>
      <c r="M6" s="25"/>
      <c r="N6" s="27"/>
    </row>
    <row r="8" spans="1:14">
      <c r="A8" s="7" t="s">
        <v>5</v>
      </c>
      <c r="B8" s="8" t="s">
        <v>6</v>
      </c>
      <c r="C8" s="8" t="s">
        <v>7</v>
      </c>
      <c r="D8" s="9" t="s">
        <v>8</v>
      </c>
    </row>
    <row r="9" spans="1:14">
      <c r="A9" s="1" t="s">
        <v>2</v>
      </c>
      <c r="B9" s="2">
        <f>COUNTIF(RTM!G8:G107,"Fully Covered")</f>
        <v>6</v>
      </c>
      <c r="C9" s="2">
        <f>COUNTIFS(RTM!B8:B107,"Site Scenario",RTM!G8:G107,"Fully Covered")</f>
        <v>2</v>
      </c>
      <c r="D9" s="3">
        <f>COUNTIFS(RTM!B8:B107,"Tester-Derived",RTM!G8:G107,"Fully Covered")</f>
        <v>4</v>
      </c>
    </row>
    <row r="10" spans="1:14">
      <c r="A10" s="1" t="s">
        <v>3</v>
      </c>
      <c r="B10" s="2">
        <f>COUNTIF(RTM!G8:G107,"Partially Covered")</f>
        <v>2</v>
      </c>
      <c r="C10" s="2">
        <f>COUNTIFS(RTM!B8:B107,"Site Scenario",RTM!G8:G107,"Partially Covered")</f>
        <v>2</v>
      </c>
      <c r="D10" s="3">
        <f>COUNTIFS(RTM!B8:B107,"Tester-Derived",RTM!G8:G107,"Partially Covered")</f>
        <v>0</v>
      </c>
    </row>
    <row r="11" spans="1:14">
      <c r="A11" s="4" t="s">
        <v>4</v>
      </c>
      <c r="B11" s="5">
        <f>COUNTIF(RTM!G8:G107,"Not Covered")</f>
        <v>22</v>
      </c>
      <c r="C11" s="5">
        <f>COUNTIFS(RTM!B8:B107,"Site Scenario",RTM!G8:G107,"Not Covered")</f>
        <v>22</v>
      </c>
      <c r="D11" s="6">
        <f>COUNTIFS(RTM!B8:B107,"Tester-Derived",RTM!G8:G107,"Not Covered")</f>
        <v>0</v>
      </c>
    </row>
    <row r="14" spans="1:14">
      <c r="A14" s="16" t="s">
        <v>9</v>
      </c>
      <c r="B14" s="17" t="s">
        <v>6</v>
      </c>
      <c r="C14" s="17" t="s">
        <v>10</v>
      </c>
      <c r="D14" s="18" t="s">
        <v>11</v>
      </c>
    </row>
    <row r="15" spans="1:14" ht="25">
      <c r="A15" s="10" t="s">
        <v>12</v>
      </c>
      <c r="B15" s="11">
        <f>COUNTIF(RTM!K8:K107,"Pass")</f>
        <v>7</v>
      </c>
      <c r="C15" s="11">
        <f>0</f>
        <v>0</v>
      </c>
      <c r="D15" s="12" t="s">
        <v>13</v>
      </c>
    </row>
    <row r="16" spans="1:14" ht="25">
      <c r="A16" s="10" t="s">
        <v>14</v>
      </c>
      <c r="B16" s="11">
        <f>COUNTIF(RTM!K8:K107,"Fail")</f>
        <v>1</v>
      </c>
      <c r="C16" s="11">
        <f>COUNTIF(RTM!K8:K107,"Fail")</f>
        <v>1</v>
      </c>
      <c r="D16" s="12" t="s">
        <v>15</v>
      </c>
    </row>
    <row r="17" spans="1:14" ht="25">
      <c r="A17" s="13" t="s">
        <v>16</v>
      </c>
      <c r="B17" s="14">
        <f>COUNTIF(RTM!K8:K107,"Not Run")</f>
        <v>22</v>
      </c>
      <c r="C17" s="14">
        <f>0</f>
        <v>0</v>
      </c>
      <c r="D17" s="15" t="s">
        <v>17</v>
      </c>
    </row>
    <row r="20" spans="1:14" ht="15.5">
      <c r="A20" s="28" t="s">
        <v>18</v>
      </c>
      <c r="B20" s="28"/>
      <c r="C20" s="28"/>
      <c r="D20" s="28"/>
      <c r="E20" s="28"/>
      <c r="F20" s="28"/>
      <c r="G20" s="28"/>
      <c r="H20" s="28"/>
      <c r="I20" s="28"/>
      <c r="J20" s="28"/>
      <c r="K20" s="28"/>
      <c r="L20" s="28"/>
      <c r="M20" s="28"/>
      <c r="N20" s="28"/>
    </row>
    <row r="21" spans="1:14">
      <c r="A21" s="29" t="s">
        <v>19</v>
      </c>
      <c r="B21" s="30"/>
      <c r="C21" s="30"/>
      <c r="D21" s="30"/>
      <c r="E21" s="30"/>
      <c r="F21" s="30"/>
      <c r="G21" s="30"/>
      <c r="H21" s="30"/>
      <c r="I21" s="30"/>
      <c r="J21" s="30"/>
      <c r="K21" s="30"/>
      <c r="L21" s="30"/>
      <c r="M21" s="30"/>
      <c r="N21" s="31"/>
    </row>
    <row r="22" spans="1:14">
      <c r="A22" s="32"/>
      <c r="B22" s="33"/>
      <c r="C22" s="33"/>
      <c r="D22" s="33"/>
      <c r="E22" s="33"/>
      <c r="F22" s="33"/>
      <c r="G22" s="33"/>
      <c r="H22" s="33"/>
      <c r="I22" s="33"/>
      <c r="J22" s="33"/>
      <c r="K22" s="33"/>
      <c r="L22" s="33"/>
      <c r="M22" s="33"/>
      <c r="N22" s="34"/>
    </row>
    <row r="23" spans="1:14">
      <c r="A23" s="32"/>
      <c r="B23" s="33"/>
      <c r="C23" s="33"/>
      <c r="D23" s="33"/>
      <c r="E23" s="33"/>
      <c r="F23" s="33"/>
      <c r="G23" s="33"/>
      <c r="H23" s="33"/>
      <c r="I23" s="33"/>
      <c r="J23" s="33"/>
      <c r="K23" s="33"/>
      <c r="L23" s="33"/>
      <c r="M23" s="33"/>
      <c r="N23" s="34"/>
    </row>
    <row r="24" spans="1:14">
      <c r="A24" s="32"/>
      <c r="B24" s="33"/>
      <c r="C24" s="33"/>
      <c r="D24" s="33"/>
      <c r="E24" s="33"/>
      <c r="F24" s="33"/>
      <c r="G24" s="33"/>
      <c r="H24" s="33"/>
      <c r="I24" s="33"/>
      <c r="J24" s="33"/>
      <c r="K24" s="33"/>
      <c r="L24" s="33"/>
      <c r="M24" s="33"/>
      <c r="N24" s="34"/>
    </row>
    <row r="25" spans="1:14">
      <c r="A25" s="35"/>
      <c r="B25" s="36"/>
      <c r="C25" s="36"/>
      <c r="D25" s="36"/>
      <c r="E25" s="36"/>
      <c r="F25" s="36"/>
      <c r="G25" s="36"/>
      <c r="H25" s="36"/>
      <c r="I25" s="36"/>
      <c r="J25" s="36"/>
      <c r="K25" s="36"/>
      <c r="L25" s="36"/>
      <c r="M25" s="36"/>
      <c r="N25" s="37"/>
    </row>
  </sheetData>
  <mergeCells count="12">
    <mergeCell ref="A20:N20"/>
    <mergeCell ref="A21:N25"/>
    <mergeCell ref="A1:N1"/>
    <mergeCell ref="A2:N2"/>
    <mergeCell ref="A4:C4"/>
    <mergeCell ref="A5:C6"/>
    <mergeCell ref="E4:G4"/>
    <mergeCell ref="E5:G6"/>
    <mergeCell ref="I4:K4"/>
    <mergeCell ref="I5:K6"/>
    <mergeCell ref="M4:N4"/>
    <mergeCell ref="M5:N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37"/>
  <sheetViews>
    <sheetView showGridLines="0" tabSelected="1" zoomScale="85" zoomScaleNormal="85" workbookViewId="0">
      <selection activeCell="F9" sqref="F9"/>
    </sheetView>
  </sheetViews>
  <sheetFormatPr defaultRowHeight="14"/>
  <cols>
    <col min="1" max="3" width="18" customWidth="1"/>
    <col min="4" max="4" width="20" customWidth="1"/>
    <col min="5" max="5" width="38" customWidth="1"/>
    <col min="6" max="6" width="26" customWidth="1"/>
    <col min="7" max="7" width="20" customWidth="1"/>
    <col min="8" max="8" width="52" customWidth="1"/>
    <col min="9" max="9" width="24" customWidth="1"/>
    <col min="10" max="10" width="13" customWidth="1"/>
    <col min="11" max="11" width="17" customWidth="1"/>
    <col min="12" max="12" width="20" customWidth="1"/>
    <col min="13" max="13" width="52" customWidth="1"/>
  </cols>
  <sheetData>
    <row r="1" spans="1:13" ht="36" customHeight="1">
      <c r="A1" s="19" t="s">
        <v>20</v>
      </c>
      <c r="B1" s="19"/>
      <c r="C1" s="19"/>
      <c r="D1" s="19"/>
      <c r="E1" s="19"/>
      <c r="F1" s="19"/>
      <c r="G1" s="19"/>
      <c r="H1" s="19"/>
      <c r="I1" s="19"/>
      <c r="J1" s="19"/>
      <c r="K1" s="19"/>
      <c r="L1" s="19"/>
      <c r="M1" s="19"/>
    </row>
    <row r="2" spans="1:13" ht="24" customHeight="1">
      <c r="A2" s="20" t="s">
        <v>21</v>
      </c>
      <c r="B2" s="20"/>
      <c r="C2" s="20"/>
      <c r="D2" s="20"/>
      <c r="E2" s="20"/>
      <c r="F2" s="20"/>
      <c r="G2" s="20"/>
      <c r="H2" s="20"/>
      <c r="I2" s="20"/>
      <c r="J2" s="20"/>
      <c r="K2" s="20"/>
      <c r="L2" s="20"/>
      <c r="M2" s="20"/>
    </row>
    <row r="4" spans="1:13">
      <c r="A4" s="38" t="s">
        <v>276</v>
      </c>
      <c r="B4" s="39"/>
      <c r="C4" s="39"/>
      <c r="D4" s="39"/>
      <c r="E4" s="39"/>
      <c r="F4" s="39"/>
      <c r="G4" s="39"/>
      <c r="H4" s="39"/>
      <c r="I4" s="39"/>
      <c r="J4" s="39"/>
      <c r="K4" s="39"/>
      <c r="L4" s="39"/>
      <c r="M4" s="40"/>
    </row>
    <row r="5" spans="1:13">
      <c r="A5" s="41"/>
      <c r="B5" s="42"/>
      <c r="C5" s="42"/>
      <c r="D5" s="42"/>
      <c r="E5" s="42"/>
      <c r="F5" s="42"/>
      <c r="G5" s="42"/>
      <c r="H5" s="42"/>
      <c r="I5" s="42"/>
      <c r="J5" s="42"/>
      <c r="K5" s="42"/>
      <c r="L5" s="42"/>
      <c r="M5" s="43"/>
    </row>
    <row r="7" spans="1:13" ht="42" customHeight="1">
      <c r="A7" s="44" t="s">
        <v>22</v>
      </c>
      <c r="B7" s="45" t="s">
        <v>23</v>
      </c>
      <c r="C7" s="45" t="s">
        <v>24</v>
      </c>
      <c r="D7" s="45" t="s">
        <v>25</v>
      </c>
      <c r="E7" s="45" t="s">
        <v>26</v>
      </c>
      <c r="F7" s="45" t="s">
        <v>27</v>
      </c>
      <c r="G7" s="45" t="s">
        <v>5</v>
      </c>
      <c r="H7" s="45" t="s">
        <v>28</v>
      </c>
      <c r="I7" s="45" t="s">
        <v>29</v>
      </c>
      <c r="J7" s="45" t="s">
        <v>30</v>
      </c>
      <c r="K7" s="45" t="s">
        <v>9</v>
      </c>
      <c r="L7" s="45" t="s">
        <v>31</v>
      </c>
      <c r="M7" s="46" t="s">
        <v>32</v>
      </c>
    </row>
    <row r="8" spans="1:13" ht="46" customHeight="1">
      <c r="A8" s="47" t="s">
        <v>33</v>
      </c>
      <c r="B8" s="48" t="s">
        <v>34</v>
      </c>
      <c r="C8" s="49" t="s">
        <v>35</v>
      </c>
      <c r="D8" s="48" t="s">
        <v>36</v>
      </c>
      <c r="E8" s="48" t="s">
        <v>37</v>
      </c>
      <c r="F8" s="49" t="s">
        <v>38</v>
      </c>
      <c r="G8" s="48" t="s">
        <v>3</v>
      </c>
      <c r="H8" s="50" t="s">
        <v>39</v>
      </c>
      <c r="I8" s="48" t="s">
        <v>40</v>
      </c>
      <c r="J8" s="48" t="s">
        <v>41</v>
      </c>
      <c r="K8" s="48" t="s">
        <v>12</v>
      </c>
      <c r="L8" s="48"/>
      <c r="M8" s="51" t="s">
        <v>42</v>
      </c>
    </row>
    <row r="9" spans="1:13" ht="37" customHeight="1">
      <c r="A9" s="47" t="s">
        <v>43</v>
      </c>
      <c r="B9" s="48" t="s">
        <v>34</v>
      </c>
      <c r="C9" s="49" t="s">
        <v>44</v>
      </c>
      <c r="D9" s="48" t="s">
        <v>45</v>
      </c>
      <c r="E9" s="48" t="s">
        <v>46</v>
      </c>
      <c r="F9" s="49" t="s">
        <v>47</v>
      </c>
      <c r="G9" s="48" t="s">
        <v>2</v>
      </c>
      <c r="H9" s="50" t="s">
        <v>48</v>
      </c>
      <c r="I9" s="48" t="s">
        <v>40</v>
      </c>
      <c r="J9" s="48" t="s">
        <v>41</v>
      </c>
      <c r="K9" s="48" t="s">
        <v>12</v>
      </c>
      <c r="L9" s="48"/>
      <c r="M9" s="51" t="s">
        <v>49</v>
      </c>
    </row>
    <row r="10" spans="1:13" ht="27" customHeight="1">
      <c r="A10" s="47" t="s">
        <v>50</v>
      </c>
      <c r="B10" s="48" t="s">
        <v>34</v>
      </c>
      <c r="C10" s="49" t="s">
        <v>51</v>
      </c>
      <c r="D10" s="48" t="s">
        <v>52</v>
      </c>
      <c r="E10" s="48" t="s">
        <v>53</v>
      </c>
      <c r="F10" s="49" t="s">
        <v>54</v>
      </c>
      <c r="G10" s="48" t="s">
        <v>3</v>
      </c>
      <c r="H10" s="50" t="s">
        <v>55</v>
      </c>
      <c r="I10" s="48" t="s">
        <v>56</v>
      </c>
      <c r="J10" s="48" t="s">
        <v>57</v>
      </c>
      <c r="K10" s="48" t="s">
        <v>12</v>
      </c>
      <c r="L10" s="48"/>
      <c r="M10" s="51" t="s">
        <v>58</v>
      </c>
    </row>
    <row r="11" spans="1:13" ht="34.5" customHeight="1">
      <c r="A11" s="47" t="s">
        <v>59</v>
      </c>
      <c r="B11" s="48" t="s">
        <v>34</v>
      </c>
      <c r="C11" s="49" t="s">
        <v>60</v>
      </c>
      <c r="D11" s="48" t="s">
        <v>61</v>
      </c>
      <c r="E11" s="48" t="s">
        <v>62</v>
      </c>
      <c r="F11" s="49" t="s">
        <v>63</v>
      </c>
      <c r="G11" s="48" t="s">
        <v>2</v>
      </c>
      <c r="H11" s="50" t="s">
        <v>64</v>
      </c>
      <c r="I11" s="48" t="s">
        <v>40</v>
      </c>
      <c r="J11" s="48" t="s">
        <v>57</v>
      </c>
      <c r="K11" s="48" t="s">
        <v>14</v>
      </c>
      <c r="L11" s="49" t="s">
        <v>65</v>
      </c>
      <c r="M11" s="51" t="s">
        <v>66</v>
      </c>
    </row>
    <row r="12" spans="1:13" ht="30" customHeight="1">
      <c r="A12" s="47" t="s">
        <v>67</v>
      </c>
      <c r="B12" s="48" t="s">
        <v>34</v>
      </c>
      <c r="C12" s="49" t="s">
        <v>68</v>
      </c>
      <c r="D12" s="48" t="s">
        <v>36</v>
      </c>
      <c r="E12" s="48" t="s">
        <v>69</v>
      </c>
      <c r="F12" s="48"/>
      <c r="G12" s="48" t="s">
        <v>4</v>
      </c>
      <c r="H12" s="50" t="s">
        <v>70</v>
      </c>
      <c r="I12" s="48" t="s">
        <v>56</v>
      </c>
      <c r="J12" s="48" t="s">
        <v>57</v>
      </c>
      <c r="K12" s="48" t="s">
        <v>16</v>
      </c>
      <c r="L12" s="48"/>
      <c r="M12" s="51" t="s">
        <v>71</v>
      </c>
    </row>
    <row r="13" spans="1:13" ht="34.5" customHeight="1">
      <c r="A13" s="47" t="s">
        <v>72</v>
      </c>
      <c r="B13" s="48" t="s">
        <v>34</v>
      </c>
      <c r="C13" s="49" t="s">
        <v>73</v>
      </c>
      <c r="D13" s="48" t="s">
        <v>74</v>
      </c>
      <c r="E13" s="48" t="s">
        <v>75</v>
      </c>
      <c r="F13" s="48"/>
      <c r="G13" s="48" t="s">
        <v>4</v>
      </c>
      <c r="H13" s="50" t="s">
        <v>76</v>
      </c>
      <c r="I13" s="48" t="s">
        <v>40</v>
      </c>
      <c r="J13" s="48" t="s">
        <v>77</v>
      </c>
      <c r="K13" s="48" t="s">
        <v>16</v>
      </c>
      <c r="L13" s="48"/>
      <c r="M13" s="51" t="s">
        <v>78</v>
      </c>
    </row>
    <row r="14" spans="1:13" ht="23.5" customHeight="1">
      <c r="A14" s="47" t="s">
        <v>79</v>
      </c>
      <c r="B14" s="48" t="s">
        <v>34</v>
      </c>
      <c r="C14" s="49" t="s">
        <v>80</v>
      </c>
      <c r="D14" s="48" t="s">
        <v>81</v>
      </c>
      <c r="E14" s="48" t="s">
        <v>82</v>
      </c>
      <c r="F14" s="48"/>
      <c r="G14" s="48" t="s">
        <v>4</v>
      </c>
      <c r="H14" s="50" t="s">
        <v>83</v>
      </c>
      <c r="I14" s="48" t="s">
        <v>40</v>
      </c>
      <c r="J14" s="48" t="s">
        <v>84</v>
      </c>
      <c r="K14" s="48" t="s">
        <v>16</v>
      </c>
      <c r="L14" s="48"/>
      <c r="M14" s="51" t="s">
        <v>85</v>
      </c>
    </row>
    <row r="15" spans="1:13" ht="24" customHeight="1">
      <c r="A15" s="47" t="s">
        <v>86</v>
      </c>
      <c r="B15" s="48" t="s">
        <v>34</v>
      </c>
      <c r="C15" s="49" t="s">
        <v>87</v>
      </c>
      <c r="D15" s="48" t="s">
        <v>88</v>
      </c>
      <c r="E15" s="48" t="s">
        <v>89</v>
      </c>
      <c r="F15" s="48"/>
      <c r="G15" s="48" t="s">
        <v>4</v>
      </c>
      <c r="H15" s="50" t="s">
        <v>90</v>
      </c>
      <c r="I15" s="48" t="s">
        <v>40</v>
      </c>
      <c r="J15" s="48" t="s">
        <v>57</v>
      </c>
      <c r="K15" s="48" t="s">
        <v>16</v>
      </c>
      <c r="L15" s="48"/>
      <c r="M15" s="51" t="s">
        <v>91</v>
      </c>
    </row>
    <row r="16" spans="1:13" ht="32.5" customHeight="1">
      <c r="A16" s="47" t="s">
        <v>92</v>
      </c>
      <c r="B16" s="48" t="s">
        <v>34</v>
      </c>
      <c r="C16" s="49" t="s">
        <v>93</v>
      </c>
      <c r="D16" s="48" t="s">
        <v>88</v>
      </c>
      <c r="E16" s="48" t="s">
        <v>94</v>
      </c>
      <c r="F16" s="48"/>
      <c r="G16" s="48" t="s">
        <v>4</v>
      </c>
      <c r="H16" s="50" t="s">
        <v>95</v>
      </c>
      <c r="I16" s="48" t="s">
        <v>40</v>
      </c>
      <c r="J16" s="48" t="s">
        <v>57</v>
      </c>
      <c r="K16" s="48" t="s">
        <v>16</v>
      </c>
      <c r="L16" s="48"/>
      <c r="M16" s="51" t="s">
        <v>96</v>
      </c>
    </row>
    <row r="17" spans="1:13" ht="21" customHeight="1">
      <c r="A17" s="47" t="s">
        <v>97</v>
      </c>
      <c r="B17" s="48" t="s">
        <v>34</v>
      </c>
      <c r="C17" s="49" t="s">
        <v>98</v>
      </c>
      <c r="D17" s="48" t="s">
        <v>99</v>
      </c>
      <c r="E17" s="48" t="s">
        <v>100</v>
      </c>
      <c r="F17" s="48"/>
      <c r="G17" s="48" t="s">
        <v>4</v>
      </c>
      <c r="H17" s="50" t="s">
        <v>101</v>
      </c>
      <c r="I17" s="48" t="s">
        <v>40</v>
      </c>
      <c r="J17" s="48" t="s">
        <v>77</v>
      </c>
      <c r="K17" s="48" t="s">
        <v>16</v>
      </c>
      <c r="L17" s="48"/>
      <c r="M17" s="51" t="s">
        <v>102</v>
      </c>
    </row>
    <row r="18" spans="1:13" ht="22.5" customHeight="1">
      <c r="A18" s="47" t="s">
        <v>103</v>
      </c>
      <c r="B18" s="48" t="s">
        <v>34</v>
      </c>
      <c r="C18" s="49" t="s">
        <v>104</v>
      </c>
      <c r="D18" s="48" t="s">
        <v>99</v>
      </c>
      <c r="E18" s="48" t="s">
        <v>105</v>
      </c>
      <c r="F18" s="48"/>
      <c r="G18" s="48" t="s">
        <v>4</v>
      </c>
      <c r="H18" s="50" t="s">
        <v>106</v>
      </c>
      <c r="I18" s="48" t="s">
        <v>40</v>
      </c>
      <c r="J18" s="48" t="s">
        <v>77</v>
      </c>
      <c r="K18" s="48" t="s">
        <v>16</v>
      </c>
      <c r="L18" s="48"/>
      <c r="M18" s="51" t="s">
        <v>107</v>
      </c>
    </row>
    <row r="19" spans="1:13" ht="22" customHeight="1">
      <c r="A19" s="47" t="s">
        <v>108</v>
      </c>
      <c r="B19" s="48" t="s">
        <v>34</v>
      </c>
      <c r="C19" s="49" t="s">
        <v>109</v>
      </c>
      <c r="D19" s="48" t="s">
        <v>110</v>
      </c>
      <c r="E19" s="48" t="s">
        <v>111</v>
      </c>
      <c r="F19" s="48"/>
      <c r="G19" s="48" t="s">
        <v>4</v>
      </c>
      <c r="H19" s="50" t="s">
        <v>112</v>
      </c>
      <c r="I19" s="48" t="s">
        <v>40</v>
      </c>
      <c r="J19" s="48" t="s">
        <v>41</v>
      </c>
      <c r="K19" s="48" t="s">
        <v>16</v>
      </c>
      <c r="L19" s="48"/>
      <c r="M19" s="51" t="s">
        <v>113</v>
      </c>
    </row>
    <row r="20" spans="1:13" ht="22" customHeight="1">
      <c r="A20" s="47" t="s">
        <v>114</v>
      </c>
      <c r="B20" s="48" t="s">
        <v>34</v>
      </c>
      <c r="C20" s="49" t="s">
        <v>115</v>
      </c>
      <c r="D20" s="48" t="s">
        <v>110</v>
      </c>
      <c r="E20" s="48" t="s">
        <v>116</v>
      </c>
      <c r="F20" s="48"/>
      <c r="G20" s="48" t="s">
        <v>4</v>
      </c>
      <c r="H20" s="50" t="s">
        <v>117</v>
      </c>
      <c r="I20" s="48" t="s">
        <v>40</v>
      </c>
      <c r="J20" s="48" t="s">
        <v>57</v>
      </c>
      <c r="K20" s="48" t="s">
        <v>16</v>
      </c>
      <c r="L20" s="48"/>
      <c r="M20" s="51" t="s">
        <v>118</v>
      </c>
    </row>
    <row r="21" spans="1:13" ht="21.5" customHeight="1">
      <c r="A21" s="47" t="s">
        <v>119</v>
      </c>
      <c r="B21" s="48" t="s">
        <v>34</v>
      </c>
      <c r="C21" s="49" t="s">
        <v>120</v>
      </c>
      <c r="D21" s="48" t="s">
        <v>121</v>
      </c>
      <c r="E21" s="48" t="s">
        <v>122</v>
      </c>
      <c r="F21" s="48"/>
      <c r="G21" s="48" t="s">
        <v>4</v>
      </c>
      <c r="H21" s="50" t="s">
        <v>123</v>
      </c>
      <c r="I21" s="48" t="s">
        <v>124</v>
      </c>
      <c r="J21" s="48" t="s">
        <v>41</v>
      </c>
      <c r="K21" s="48" t="s">
        <v>16</v>
      </c>
      <c r="L21" s="48"/>
      <c r="M21" s="51" t="s">
        <v>125</v>
      </c>
    </row>
    <row r="22" spans="1:13" ht="21.5" customHeight="1">
      <c r="A22" s="47" t="s">
        <v>126</v>
      </c>
      <c r="B22" s="48" t="s">
        <v>34</v>
      </c>
      <c r="C22" s="49" t="s">
        <v>127</v>
      </c>
      <c r="D22" s="48" t="s">
        <v>121</v>
      </c>
      <c r="E22" s="48" t="s">
        <v>128</v>
      </c>
      <c r="F22" s="48"/>
      <c r="G22" s="48" t="s">
        <v>4</v>
      </c>
      <c r="H22" s="50" t="s">
        <v>129</v>
      </c>
      <c r="I22" s="48" t="s">
        <v>124</v>
      </c>
      <c r="J22" s="48" t="s">
        <v>41</v>
      </c>
      <c r="K22" s="48" t="s">
        <v>16</v>
      </c>
      <c r="L22" s="48"/>
      <c r="M22" s="51" t="s">
        <v>130</v>
      </c>
    </row>
    <row r="23" spans="1:13" ht="20" customHeight="1">
      <c r="A23" s="47" t="s">
        <v>131</v>
      </c>
      <c r="B23" s="48" t="s">
        <v>34</v>
      </c>
      <c r="C23" s="49" t="s">
        <v>132</v>
      </c>
      <c r="D23" s="48" t="s">
        <v>121</v>
      </c>
      <c r="E23" s="48" t="s">
        <v>133</v>
      </c>
      <c r="F23" s="48"/>
      <c r="G23" s="48" t="s">
        <v>4</v>
      </c>
      <c r="H23" s="50" t="s">
        <v>134</v>
      </c>
      <c r="I23" s="48" t="s">
        <v>124</v>
      </c>
      <c r="J23" s="48" t="s">
        <v>41</v>
      </c>
      <c r="K23" s="48" t="s">
        <v>16</v>
      </c>
      <c r="L23" s="48"/>
      <c r="M23" s="51" t="s">
        <v>135</v>
      </c>
    </row>
    <row r="24" spans="1:13" ht="21" customHeight="1">
      <c r="A24" s="47" t="s">
        <v>136</v>
      </c>
      <c r="B24" s="48" t="s">
        <v>34</v>
      </c>
      <c r="C24" s="49" t="s">
        <v>137</v>
      </c>
      <c r="D24" s="48" t="s">
        <v>110</v>
      </c>
      <c r="E24" s="48" t="s">
        <v>138</v>
      </c>
      <c r="F24" s="48"/>
      <c r="G24" s="48" t="s">
        <v>4</v>
      </c>
      <c r="H24" s="50" t="s">
        <v>139</v>
      </c>
      <c r="I24" s="48" t="s">
        <v>40</v>
      </c>
      <c r="J24" s="48" t="s">
        <v>57</v>
      </c>
      <c r="K24" s="48" t="s">
        <v>16</v>
      </c>
      <c r="L24" s="48"/>
      <c r="M24" s="51" t="s">
        <v>140</v>
      </c>
    </row>
    <row r="25" spans="1:13" ht="24.5" customHeight="1">
      <c r="A25" s="47" t="s">
        <v>141</v>
      </c>
      <c r="B25" s="48" t="s">
        <v>34</v>
      </c>
      <c r="C25" s="49" t="s">
        <v>142</v>
      </c>
      <c r="D25" s="48" t="s">
        <v>143</v>
      </c>
      <c r="E25" s="48" t="s">
        <v>144</v>
      </c>
      <c r="F25" s="48"/>
      <c r="G25" s="48" t="s">
        <v>4</v>
      </c>
      <c r="H25" s="50" t="s">
        <v>145</v>
      </c>
      <c r="I25" s="48" t="s">
        <v>40</v>
      </c>
      <c r="J25" s="48" t="s">
        <v>77</v>
      </c>
      <c r="K25" s="48" t="s">
        <v>16</v>
      </c>
      <c r="L25" s="48"/>
      <c r="M25" s="51" t="s">
        <v>146</v>
      </c>
    </row>
    <row r="26" spans="1:13" ht="25.5" customHeight="1">
      <c r="A26" s="47" t="s">
        <v>147</v>
      </c>
      <c r="B26" s="48" t="s">
        <v>34</v>
      </c>
      <c r="C26" s="49" t="s">
        <v>148</v>
      </c>
      <c r="D26" s="48" t="s">
        <v>143</v>
      </c>
      <c r="E26" s="48" t="s">
        <v>149</v>
      </c>
      <c r="F26" s="48"/>
      <c r="G26" s="48" t="s">
        <v>4</v>
      </c>
      <c r="H26" s="50" t="s">
        <v>150</v>
      </c>
      <c r="I26" s="48" t="s">
        <v>40</v>
      </c>
      <c r="J26" s="48" t="s">
        <v>77</v>
      </c>
      <c r="K26" s="48" t="s">
        <v>16</v>
      </c>
      <c r="L26" s="48"/>
      <c r="M26" s="51" t="s">
        <v>151</v>
      </c>
    </row>
    <row r="27" spans="1:13" ht="22.5" customHeight="1">
      <c r="A27" s="47" t="s">
        <v>152</v>
      </c>
      <c r="B27" s="48" t="s">
        <v>34</v>
      </c>
      <c r="C27" s="49" t="s">
        <v>153</v>
      </c>
      <c r="D27" s="48" t="s">
        <v>154</v>
      </c>
      <c r="E27" s="48" t="s">
        <v>155</v>
      </c>
      <c r="F27" s="48"/>
      <c r="G27" s="48" t="s">
        <v>4</v>
      </c>
      <c r="H27" s="50" t="s">
        <v>156</v>
      </c>
      <c r="I27" s="48" t="s">
        <v>124</v>
      </c>
      <c r="J27" s="48" t="s">
        <v>57</v>
      </c>
      <c r="K27" s="48" t="s">
        <v>16</v>
      </c>
      <c r="L27" s="48"/>
      <c r="M27" s="51" t="s">
        <v>157</v>
      </c>
    </row>
    <row r="28" spans="1:13" ht="20" customHeight="1">
      <c r="A28" s="47" t="s">
        <v>158</v>
      </c>
      <c r="B28" s="48" t="s">
        <v>34</v>
      </c>
      <c r="C28" s="49" t="s">
        <v>159</v>
      </c>
      <c r="D28" s="48" t="s">
        <v>160</v>
      </c>
      <c r="E28" s="48" t="s">
        <v>161</v>
      </c>
      <c r="F28" s="48"/>
      <c r="G28" s="48" t="s">
        <v>4</v>
      </c>
      <c r="H28" s="50" t="s">
        <v>162</v>
      </c>
      <c r="I28" s="48" t="s">
        <v>40</v>
      </c>
      <c r="J28" s="48" t="s">
        <v>77</v>
      </c>
      <c r="K28" s="48" t="s">
        <v>16</v>
      </c>
      <c r="L28" s="48"/>
      <c r="M28" s="51" t="s">
        <v>163</v>
      </c>
    </row>
    <row r="29" spans="1:13" ht="21.5" customHeight="1">
      <c r="A29" s="47" t="s">
        <v>164</v>
      </c>
      <c r="B29" s="48" t="s">
        <v>34</v>
      </c>
      <c r="C29" s="49" t="s">
        <v>165</v>
      </c>
      <c r="D29" s="48" t="s">
        <v>166</v>
      </c>
      <c r="E29" s="48" t="s">
        <v>167</v>
      </c>
      <c r="F29" s="48"/>
      <c r="G29" s="48" t="s">
        <v>4</v>
      </c>
      <c r="H29" s="50" t="s">
        <v>168</v>
      </c>
      <c r="I29" s="48" t="s">
        <v>40</v>
      </c>
      <c r="J29" s="48" t="s">
        <v>77</v>
      </c>
      <c r="K29" s="48" t="s">
        <v>16</v>
      </c>
      <c r="L29" s="48"/>
      <c r="M29" s="51" t="s">
        <v>169</v>
      </c>
    </row>
    <row r="30" spans="1:13" ht="24" customHeight="1">
      <c r="A30" s="47" t="s">
        <v>170</v>
      </c>
      <c r="B30" s="48" t="s">
        <v>34</v>
      </c>
      <c r="C30" s="49" t="s">
        <v>171</v>
      </c>
      <c r="D30" s="48" t="s">
        <v>121</v>
      </c>
      <c r="E30" s="48" t="s">
        <v>172</v>
      </c>
      <c r="F30" s="48"/>
      <c r="G30" s="48" t="s">
        <v>4</v>
      </c>
      <c r="H30" s="50" t="s">
        <v>173</v>
      </c>
      <c r="I30" s="48" t="s">
        <v>40</v>
      </c>
      <c r="J30" s="48" t="s">
        <v>41</v>
      </c>
      <c r="K30" s="48" t="s">
        <v>16</v>
      </c>
      <c r="L30" s="48"/>
      <c r="M30" s="51" t="s">
        <v>174</v>
      </c>
    </row>
    <row r="31" spans="1:13" ht="22.5" customHeight="1">
      <c r="A31" s="47" t="s">
        <v>175</v>
      </c>
      <c r="B31" s="48" t="s">
        <v>34</v>
      </c>
      <c r="C31" s="49" t="s">
        <v>176</v>
      </c>
      <c r="D31" s="48" t="s">
        <v>177</v>
      </c>
      <c r="E31" s="48" t="s">
        <v>178</v>
      </c>
      <c r="F31" s="48"/>
      <c r="G31" s="48" t="s">
        <v>4</v>
      </c>
      <c r="H31" s="50" t="s">
        <v>179</v>
      </c>
      <c r="I31" s="48" t="s">
        <v>124</v>
      </c>
      <c r="J31" s="48" t="s">
        <v>57</v>
      </c>
      <c r="K31" s="48" t="s">
        <v>16</v>
      </c>
      <c r="L31" s="48"/>
      <c r="M31" s="51" t="s">
        <v>180</v>
      </c>
    </row>
    <row r="32" spans="1:13" ht="25" customHeight="1">
      <c r="A32" s="47" t="s">
        <v>181</v>
      </c>
      <c r="B32" s="48" t="s">
        <v>34</v>
      </c>
      <c r="C32" s="49" t="s">
        <v>182</v>
      </c>
      <c r="D32" s="48" t="s">
        <v>81</v>
      </c>
      <c r="E32" s="48" t="s">
        <v>183</v>
      </c>
      <c r="F32" s="48"/>
      <c r="G32" s="48" t="s">
        <v>4</v>
      </c>
      <c r="H32" s="50" t="s">
        <v>184</v>
      </c>
      <c r="I32" s="48" t="s">
        <v>40</v>
      </c>
      <c r="J32" s="48" t="s">
        <v>84</v>
      </c>
      <c r="K32" s="48" t="s">
        <v>16</v>
      </c>
      <c r="L32" s="48"/>
      <c r="M32" s="51" t="s">
        <v>185</v>
      </c>
    </row>
    <row r="33" spans="1:13" ht="25" customHeight="1">
      <c r="A33" s="47" t="s">
        <v>186</v>
      </c>
      <c r="B33" s="48" t="s">
        <v>34</v>
      </c>
      <c r="C33" s="49" t="s">
        <v>187</v>
      </c>
      <c r="D33" s="48" t="s">
        <v>81</v>
      </c>
      <c r="E33" s="48" t="s">
        <v>188</v>
      </c>
      <c r="F33" s="48"/>
      <c r="G33" s="48" t="s">
        <v>4</v>
      </c>
      <c r="H33" s="50" t="s">
        <v>189</v>
      </c>
      <c r="I33" s="48" t="s">
        <v>40</v>
      </c>
      <c r="J33" s="48" t="s">
        <v>84</v>
      </c>
      <c r="K33" s="48" t="s">
        <v>16</v>
      </c>
      <c r="L33" s="48"/>
      <c r="M33" s="51" t="s">
        <v>190</v>
      </c>
    </row>
    <row r="34" spans="1:13" ht="22.5" customHeight="1">
      <c r="A34" s="47" t="s">
        <v>191</v>
      </c>
      <c r="B34" s="48" t="s">
        <v>8</v>
      </c>
      <c r="C34" s="49" t="s">
        <v>192</v>
      </c>
      <c r="D34" s="48" t="s">
        <v>36</v>
      </c>
      <c r="E34" s="48" t="s">
        <v>193</v>
      </c>
      <c r="F34" s="49" t="s">
        <v>194</v>
      </c>
      <c r="G34" s="48" t="s">
        <v>2</v>
      </c>
      <c r="H34" s="50" t="s">
        <v>195</v>
      </c>
      <c r="I34" s="48" t="s">
        <v>56</v>
      </c>
      <c r="J34" s="48" t="s">
        <v>57</v>
      </c>
      <c r="K34" s="48" t="s">
        <v>12</v>
      </c>
      <c r="L34" s="48"/>
      <c r="M34" s="51" t="s">
        <v>196</v>
      </c>
    </row>
    <row r="35" spans="1:13" ht="30.5" customHeight="1">
      <c r="A35" s="47" t="s">
        <v>197</v>
      </c>
      <c r="B35" s="48" t="s">
        <v>8</v>
      </c>
      <c r="C35" s="49" t="s">
        <v>198</v>
      </c>
      <c r="D35" s="48" t="s">
        <v>36</v>
      </c>
      <c r="E35" s="48" t="s">
        <v>199</v>
      </c>
      <c r="F35" s="49" t="s">
        <v>200</v>
      </c>
      <c r="G35" s="48" t="s">
        <v>2</v>
      </c>
      <c r="H35" s="50" t="s">
        <v>201</v>
      </c>
      <c r="I35" s="48" t="s">
        <v>56</v>
      </c>
      <c r="J35" s="48" t="s">
        <v>57</v>
      </c>
      <c r="K35" s="48" t="s">
        <v>12</v>
      </c>
      <c r="L35" s="48"/>
      <c r="M35" s="51" t="s">
        <v>202</v>
      </c>
    </row>
    <row r="36" spans="1:13" ht="31" customHeight="1">
      <c r="A36" s="47" t="s">
        <v>203</v>
      </c>
      <c r="B36" s="48" t="s">
        <v>8</v>
      </c>
      <c r="C36" s="49" t="s">
        <v>204</v>
      </c>
      <c r="D36" s="48" t="s">
        <v>205</v>
      </c>
      <c r="E36" s="48" t="s">
        <v>206</v>
      </c>
      <c r="F36" s="49" t="s">
        <v>207</v>
      </c>
      <c r="G36" s="48" t="s">
        <v>2</v>
      </c>
      <c r="H36" s="50" t="s">
        <v>208</v>
      </c>
      <c r="I36" s="48" t="s">
        <v>209</v>
      </c>
      <c r="J36" s="48" t="s">
        <v>57</v>
      </c>
      <c r="K36" s="48" t="s">
        <v>12</v>
      </c>
      <c r="L36" s="48"/>
      <c r="M36" s="51" t="s">
        <v>210</v>
      </c>
    </row>
    <row r="37" spans="1:13" ht="24.5" customHeight="1">
      <c r="A37" s="52" t="s">
        <v>211</v>
      </c>
      <c r="B37" s="53" t="s">
        <v>8</v>
      </c>
      <c r="C37" s="56" t="s">
        <v>212</v>
      </c>
      <c r="D37" s="53" t="s">
        <v>213</v>
      </c>
      <c r="E37" s="53" t="s">
        <v>214</v>
      </c>
      <c r="F37" s="56" t="s">
        <v>215</v>
      </c>
      <c r="G37" s="53" t="s">
        <v>2</v>
      </c>
      <c r="H37" s="54" t="s">
        <v>216</v>
      </c>
      <c r="I37" s="53" t="s">
        <v>40</v>
      </c>
      <c r="J37" s="53" t="s">
        <v>57</v>
      </c>
      <c r="K37" s="53" t="s">
        <v>12</v>
      </c>
      <c r="L37" s="53"/>
      <c r="M37" s="55" t="s">
        <v>217</v>
      </c>
    </row>
  </sheetData>
  <mergeCells count="3">
    <mergeCell ref="A1:M1"/>
    <mergeCell ref="A2:M2"/>
    <mergeCell ref="A4:M5"/>
  </mergeCells>
  <conditionalFormatting sqref="G8:G107">
    <cfRule type="containsText" dxfId="30" priority="1" operator="containsText" text="Fully Covered"/>
    <cfRule type="containsText" dxfId="29" priority="2" operator="containsText" text="Partially Covered"/>
    <cfRule type="containsText" dxfId="28" priority="3" operator="containsText" text="Not Covered"/>
  </conditionalFormatting>
  <conditionalFormatting sqref="K8:K107">
    <cfRule type="containsText" dxfId="27" priority="4" operator="containsText" text="Pass"/>
    <cfRule type="containsText" dxfId="26" priority="5" operator="containsText" text="Fail"/>
    <cfRule type="containsText" dxfId="25" priority="6" operator="containsText" text="Not Run"/>
  </conditionalFormatting>
  <dataValidations count="3">
    <dataValidation type="list" sqref="G8:G107" xr:uid="{00000000-0002-0000-0100-000000000000}">
      <formula1>"Fully Covered,Partially Covered,Not Covered"</formula1>
    </dataValidation>
    <dataValidation type="list" sqref="J8:J107" xr:uid="{00000000-0002-0000-0100-000001000000}">
      <formula1>"Critical,High,Medium,Low"</formula1>
    </dataValidation>
    <dataValidation type="list" sqref="K8:K107" xr:uid="{00000000-0002-0000-0100-000002000000}">
      <formula1>"Pass,Fail,Blocked,Not Run"</formula1>
    </dataValidation>
  </dataValidations>
  <hyperlinks>
    <hyperlink ref="F8" r:id="rId1" display="..\Test Cases\Automation Exercise Signup and Login Test Cases.xlsx" xr:uid="{629C41BB-FE09-43DD-9379-3E9E4106D338}"/>
    <hyperlink ref="F9" r:id="rId2" display="..\Test Cases\Automation Exercise Signup and Login Test Cases.xlsx" xr:uid="{47389656-5D5F-4BD5-91AF-E3A36CC9690B}"/>
    <hyperlink ref="F10" r:id="rId3" xr:uid="{965262EE-9E4D-49D6-A999-E1D4BFC92175}"/>
    <hyperlink ref="F11" r:id="rId4" xr:uid="{C9DA0C55-1F5B-4542-8D28-B3C6A4E0A1D1}"/>
    <hyperlink ref="L11" r:id="rId5" display="..\Bug Report\Automation Exercise Defect Log.xlsx" xr:uid="{E559C4FF-BFA0-4462-A235-544127D56D2D}"/>
    <hyperlink ref="F34" r:id="rId6" xr:uid="{5E38BC30-819B-4B8A-9CEE-19E195058AE7}"/>
    <hyperlink ref="F35" r:id="rId7" xr:uid="{A29D2E63-76DF-4817-B5DF-A0D42FF4758A}"/>
    <hyperlink ref="F36" r:id="rId8" xr:uid="{29D8EA30-2E5C-4FFB-B833-86498F535069}"/>
    <hyperlink ref="F37" r:id="rId9" xr:uid="{5A5D8064-D537-4F43-B07A-4E32BB8D98A1}"/>
    <hyperlink ref="C8:C37" location="'Source Scenarios'!A1" display="SRC-TC-01" xr:uid="{930DEBB1-1612-47E8-8536-89CDFB70102C}"/>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30"/>
  <sheetViews>
    <sheetView showGridLines="0" topLeftCell="A18" workbookViewId="0">
      <selection activeCell="G20" sqref="G20"/>
    </sheetView>
  </sheetViews>
  <sheetFormatPr defaultRowHeight="14"/>
  <cols>
    <col min="1" max="1" width="20" customWidth="1"/>
    <col min="2" max="2" width="52" customWidth="1"/>
    <col min="3" max="3" width="14" customWidth="1"/>
    <col min="4" max="4" width="90" customWidth="1"/>
  </cols>
  <sheetData>
    <row r="1" spans="1:4" ht="36" customHeight="1">
      <c r="A1" s="19" t="s">
        <v>218</v>
      </c>
      <c r="B1" s="19"/>
      <c r="C1" s="19"/>
      <c r="D1" s="19"/>
    </row>
    <row r="2" spans="1:4" ht="24" customHeight="1">
      <c r="A2" s="20" t="s">
        <v>274</v>
      </c>
      <c r="B2" s="20"/>
      <c r="C2" s="20"/>
      <c r="D2" s="20"/>
    </row>
    <row r="4" spans="1:4" ht="38" customHeight="1">
      <c r="A4" s="44" t="s">
        <v>24</v>
      </c>
      <c r="B4" s="45" t="s">
        <v>219</v>
      </c>
      <c r="C4" s="45" t="s">
        <v>220</v>
      </c>
      <c r="D4" s="46" t="s">
        <v>221</v>
      </c>
    </row>
    <row r="5" spans="1:4" ht="264.5" customHeight="1">
      <c r="A5" s="47" t="s">
        <v>35</v>
      </c>
      <c r="B5" s="48" t="s">
        <v>222</v>
      </c>
      <c r="C5" s="48">
        <v>18</v>
      </c>
      <c r="D5" s="57" t="s">
        <v>223</v>
      </c>
    </row>
    <row r="6" spans="1:4" ht="264.5" customHeight="1">
      <c r="A6" s="47" t="s">
        <v>44</v>
      </c>
      <c r="B6" s="48" t="s">
        <v>224</v>
      </c>
      <c r="C6" s="48">
        <v>10</v>
      </c>
      <c r="D6" s="57" t="s">
        <v>225</v>
      </c>
    </row>
    <row r="7" spans="1:4" ht="264.5" customHeight="1">
      <c r="A7" s="47" t="s">
        <v>51</v>
      </c>
      <c r="B7" s="48" t="s">
        <v>226</v>
      </c>
      <c r="C7" s="48">
        <v>8</v>
      </c>
      <c r="D7" s="57" t="s">
        <v>227</v>
      </c>
    </row>
    <row r="8" spans="1:4" ht="264.5" customHeight="1">
      <c r="A8" s="47" t="s">
        <v>60</v>
      </c>
      <c r="B8" s="48" t="s">
        <v>228</v>
      </c>
      <c r="C8" s="48">
        <v>10</v>
      </c>
      <c r="D8" s="57" t="s">
        <v>229</v>
      </c>
    </row>
    <row r="9" spans="1:4" ht="264.5" customHeight="1">
      <c r="A9" s="47" t="s">
        <v>68</v>
      </c>
      <c r="B9" s="48" t="s">
        <v>230</v>
      </c>
      <c r="C9" s="48">
        <v>8</v>
      </c>
      <c r="D9" s="57" t="s">
        <v>231</v>
      </c>
    </row>
    <row r="10" spans="1:4" ht="264.5" customHeight="1">
      <c r="A10" s="47" t="s">
        <v>73</v>
      </c>
      <c r="B10" s="48" t="s">
        <v>232</v>
      </c>
      <c r="C10" s="48">
        <v>11</v>
      </c>
      <c r="D10" s="57" t="s">
        <v>233</v>
      </c>
    </row>
    <row r="11" spans="1:4" ht="264.5" customHeight="1">
      <c r="A11" s="47" t="s">
        <v>80</v>
      </c>
      <c r="B11" s="48" t="s">
        <v>234</v>
      </c>
      <c r="C11" s="48">
        <v>5</v>
      </c>
      <c r="D11" s="57" t="s">
        <v>235</v>
      </c>
    </row>
    <row r="12" spans="1:4" ht="264.5" customHeight="1">
      <c r="A12" s="47" t="s">
        <v>87</v>
      </c>
      <c r="B12" s="48" t="s">
        <v>236</v>
      </c>
      <c r="C12" s="48">
        <v>9</v>
      </c>
      <c r="D12" s="57" t="s">
        <v>237</v>
      </c>
    </row>
    <row r="13" spans="1:4" ht="264.5" customHeight="1">
      <c r="A13" s="47" t="s">
        <v>93</v>
      </c>
      <c r="B13" s="48" t="s">
        <v>238</v>
      </c>
      <c r="C13" s="48">
        <v>8</v>
      </c>
      <c r="D13" s="57" t="s">
        <v>239</v>
      </c>
    </row>
    <row r="14" spans="1:4" ht="264.5" customHeight="1">
      <c r="A14" s="47" t="s">
        <v>98</v>
      </c>
      <c r="B14" s="48" t="s">
        <v>240</v>
      </c>
      <c r="C14" s="48">
        <v>7</v>
      </c>
      <c r="D14" s="57" t="s">
        <v>241</v>
      </c>
    </row>
    <row r="15" spans="1:4" ht="264.5" customHeight="1">
      <c r="A15" s="47" t="s">
        <v>104</v>
      </c>
      <c r="B15" s="48" t="s">
        <v>242</v>
      </c>
      <c r="C15" s="48">
        <v>8</v>
      </c>
      <c r="D15" s="57" t="s">
        <v>243</v>
      </c>
    </row>
    <row r="16" spans="1:4" ht="264.5" customHeight="1">
      <c r="A16" s="47" t="s">
        <v>109</v>
      </c>
      <c r="B16" s="48" t="s">
        <v>244</v>
      </c>
      <c r="C16" s="48">
        <v>10</v>
      </c>
      <c r="D16" s="57" t="s">
        <v>245</v>
      </c>
    </row>
    <row r="17" spans="1:4" ht="264.5" customHeight="1">
      <c r="A17" s="47" t="s">
        <v>115</v>
      </c>
      <c r="B17" s="48" t="s">
        <v>246</v>
      </c>
      <c r="C17" s="48">
        <v>9</v>
      </c>
      <c r="D17" s="57" t="s">
        <v>247</v>
      </c>
    </row>
    <row r="18" spans="1:4" ht="264.5" customHeight="1">
      <c r="A18" s="47" t="s">
        <v>120</v>
      </c>
      <c r="B18" s="48" t="s">
        <v>248</v>
      </c>
      <c r="C18" s="48">
        <v>20</v>
      </c>
      <c r="D18" s="57" t="s">
        <v>249</v>
      </c>
    </row>
    <row r="19" spans="1:4" ht="264.5" customHeight="1">
      <c r="A19" s="47" t="s">
        <v>127</v>
      </c>
      <c r="B19" s="48" t="s">
        <v>250</v>
      </c>
      <c r="C19" s="48">
        <v>18</v>
      </c>
      <c r="D19" s="57" t="s">
        <v>251</v>
      </c>
    </row>
    <row r="20" spans="1:4" ht="264.5" customHeight="1">
      <c r="A20" s="47" t="s">
        <v>132</v>
      </c>
      <c r="B20" s="48" t="s">
        <v>252</v>
      </c>
      <c r="C20" s="48">
        <v>17</v>
      </c>
      <c r="D20" s="57" t="s">
        <v>253</v>
      </c>
    </row>
    <row r="21" spans="1:4" ht="264.5" customHeight="1">
      <c r="A21" s="47" t="s">
        <v>137</v>
      </c>
      <c r="B21" s="48" t="s">
        <v>254</v>
      </c>
      <c r="C21" s="48">
        <v>8</v>
      </c>
      <c r="D21" s="57" t="s">
        <v>255</v>
      </c>
    </row>
    <row r="22" spans="1:4" ht="264.5" customHeight="1">
      <c r="A22" s="47" t="s">
        <v>142</v>
      </c>
      <c r="B22" s="48" t="s">
        <v>256</v>
      </c>
      <c r="C22" s="48">
        <v>8</v>
      </c>
      <c r="D22" s="57" t="s">
        <v>257</v>
      </c>
    </row>
    <row r="23" spans="1:4" ht="264.5" customHeight="1">
      <c r="A23" s="47" t="s">
        <v>148</v>
      </c>
      <c r="B23" s="48" t="s">
        <v>258</v>
      </c>
      <c r="C23" s="48">
        <v>8</v>
      </c>
      <c r="D23" s="57" t="s">
        <v>259</v>
      </c>
    </row>
    <row r="24" spans="1:4" ht="264.5" customHeight="1">
      <c r="A24" s="47" t="s">
        <v>153</v>
      </c>
      <c r="B24" s="48" t="s">
        <v>260</v>
      </c>
      <c r="C24" s="48">
        <v>12</v>
      </c>
      <c r="D24" s="57" t="s">
        <v>261</v>
      </c>
    </row>
    <row r="25" spans="1:4" ht="264.5" customHeight="1">
      <c r="A25" s="47" t="s">
        <v>159</v>
      </c>
      <c r="B25" s="48" t="s">
        <v>262</v>
      </c>
      <c r="C25" s="48">
        <v>9</v>
      </c>
      <c r="D25" s="57" t="s">
        <v>263</v>
      </c>
    </row>
    <row r="26" spans="1:4" ht="264.5" customHeight="1">
      <c r="A26" s="47" t="s">
        <v>165</v>
      </c>
      <c r="B26" s="48" t="s">
        <v>264</v>
      </c>
      <c r="C26" s="48">
        <v>7</v>
      </c>
      <c r="D26" s="57" t="s">
        <v>265</v>
      </c>
    </row>
    <row r="27" spans="1:4" ht="264.5" customHeight="1">
      <c r="A27" s="47" t="s">
        <v>171</v>
      </c>
      <c r="B27" s="48" t="s">
        <v>266</v>
      </c>
      <c r="C27" s="48">
        <v>15</v>
      </c>
      <c r="D27" s="57" t="s">
        <v>267</v>
      </c>
    </row>
    <row r="28" spans="1:4" ht="264.5" customHeight="1">
      <c r="A28" s="47" t="s">
        <v>176</v>
      </c>
      <c r="B28" s="48" t="s">
        <v>268</v>
      </c>
      <c r="C28" s="48">
        <v>22</v>
      </c>
      <c r="D28" s="57" t="s">
        <v>269</v>
      </c>
    </row>
    <row r="29" spans="1:4" ht="264.5" customHeight="1">
      <c r="A29" s="47" t="s">
        <v>182</v>
      </c>
      <c r="B29" s="48" t="s">
        <v>270</v>
      </c>
      <c r="C29" s="48">
        <v>7</v>
      </c>
      <c r="D29" s="57" t="s">
        <v>271</v>
      </c>
    </row>
    <row r="30" spans="1:4" ht="264.5" customHeight="1">
      <c r="A30" s="52" t="s">
        <v>187</v>
      </c>
      <c r="B30" s="53" t="s">
        <v>272</v>
      </c>
      <c r="C30" s="53">
        <v>7</v>
      </c>
      <c r="D30" s="58" t="s">
        <v>273</v>
      </c>
    </row>
  </sheetData>
  <mergeCells count="2">
    <mergeCell ref="A1:D1"/>
    <mergeCell ref="A2:D2"/>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Overview</vt:lpstr>
      <vt:lpstr>RTM</vt:lpstr>
      <vt:lpstr>Source Scenarios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Kevin McMahon</cp:lastModifiedBy>
  <dcterms:modified xsi:type="dcterms:W3CDTF">2026-07-31T03:32:46Z</dcterms:modified>
</cp:coreProperties>
</file>