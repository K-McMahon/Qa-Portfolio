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61fbf6990fe490d" /></Relationships>
</file>

<file path=xl/workbook.xml><?xml version="1.0" encoding="utf-8"?>
<x:workbook xmlns:x="http://schemas.openxmlformats.org/spreadsheetml/2006/main">
  <x:sheets>
    <x:sheet xmlns:r="http://schemas.openxmlformats.org/officeDocument/2006/relationships" name="Overview" sheetId="1" r:id="R0439ba4267a34574"/>
    <x:sheet xmlns:r="http://schemas.openxmlformats.org/officeDocument/2006/relationships" name="RTM" sheetId="2" r:id="Rbd0e9c0662c0433f"/>
    <x:sheet xmlns:r="http://schemas.openxmlformats.org/officeDocument/2006/relationships" name="Source Scenarios" sheetId="3" r:id="R5a9c1fd025cc4645"/>
    <x:sheet xmlns:r="http://schemas.openxmlformats.org/officeDocument/2006/relationships" name="Source APIs" sheetId="4" r:id="Rcb813b7245a64355"/>
  </x:sheets>
</x:workbook>
</file>

<file path=xl/sharedStrings.xml><?xml version="1.0" encoding="utf-8"?>
<x:sst xmlns:x="http://schemas.openxmlformats.org/spreadsheetml/2006/main">
  <x:si>
    <x:t xml:space="preserve">Automation Exercise | Requirements Traceability Matrix</x:t>
  </x:si>
  <x:si>
    <x:t xml:space="preserve">Cross-reference of 26 official UI scenarios, 14 official API scenarios, and 4 tester-derived requirements against the current 21-case manual UI test repository</x:t>
  </x:si>
  <x:si>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</x:si>
  <x:si>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</x:si>
  <x:si>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</x:si>
  <x:si>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</x:si>
  <x:si>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</x:si>
  <x:si>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</x:si>
  <x:si>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</x:si>
  <x:si>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</x:si>
  <x:si>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</x:si>
  <x:si>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</x:si>
  <x:si>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</x:si>
  <x:si>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</x:si>
  <x:si>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</x:si>
  <x:si>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</x:si>
  <x:si>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</x:si>
  <x:si>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</x:si>
  <x:si>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</x:si>
  <x:si>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</x:si>
  <x:si>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</x:si>
  <x:si>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Requirements Traceability Matrix</x:t>
  </x:si>
  <x:si>
    <x:t xml:space="preserve">Coverage is synchronized with the 21-case manual test repository and current defect log. Source scenario wording and exact steps are preserved on the Source Scenarios worksheet.</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</x:si>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</x:sst>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3">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s>
  <x:fills count="1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22">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cellXfs>
  <x:cellStyles count="2">
    <x:cellStyle name="Hyperlink" xfId="1"/>
    <x:cellStyle name="Normal" xfId="0"/>
  </x:cellStyles>
  <x:dxfs count="86">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e50334395db44c8" /><Relationship Type="http://schemas.openxmlformats.org/officeDocument/2006/relationships/theme" Target="/xl/theme/theme1.xml" Id="R2491456be1974cb3" /><Relationship Type="http://schemas.openxmlformats.org/officeDocument/2006/relationships/sharedStrings" Target="/xl/sharedStrings.xml" Id="R68be153242144d73" /><Relationship Type="http://schemas.openxmlformats.org/officeDocument/2006/relationships/worksheet" Target="/xl/worksheets/sheet1.xml" Id="R0439ba4267a34574" /><Relationship Type="http://schemas.openxmlformats.org/officeDocument/2006/relationships/worksheet" Target="/xl/worksheets/sheet2.xml" Id="Rbd0e9c0662c0433f" /><Relationship Type="http://schemas.openxmlformats.org/officeDocument/2006/relationships/worksheet" Target="/xl/worksheets/sheet3.xml" Id="R5a9c1fd025cc4645" /><Relationship Type="http://schemas.openxmlformats.org/officeDocument/2006/relationships/worksheet" Target="/xl/worksheets/sheet4.xml" Id="Rcb813b7245a64355"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9167370d9a4583"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Overall Requirement Coverage</a:t>
            </a:r>
          </a:p>
        </c:rich>
      </c:tx>
      <c:overlay val="0"/>
    </c:title>
    <c:autoTitleDeleted val="0"/>
    <c:plotArea>
      <c:layout/>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9167370d9a4583"/>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5491727d0644fec" /></Relationships>
</file>

<file path=xl/worksheets/_rels/sheet2.xml.rels>&#65279;<?xml version="1.0" encoding="utf-8"?><Relationships xmlns="http://schemas.openxmlformats.org/package/2006/relationships"><Relationship Type="http://schemas.openxmlformats.org/officeDocument/2006/relationships/table" Target="/xl/tables/table1.xml" Id="R6a8c95dde81b4b9a" /></Relationships>
</file>

<file path=xl/worksheets/_rels/sheet3.xml.rels>&#65279;<?xml version="1.0" encoding="utf-8"?><Relationships xmlns="http://schemas.openxmlformats.org/package/2006/relationships"><Relationship Type="http://schemas.openxmlformats.org/officeDocument/2006/relationships/table" Target="/xl/tables/table2.xml" Id="R3b945217db314ad5" /></Relationships>
</file>

<file path=xl/worksheets/_rels/sheet4.xml.rels>&#65279;<?xml version="1.0" encoding="utf-8"?><Relationships xmlns="http://schemas.openxmlformats.org/package/2006/relationships"><Relationship Type="http://schemas.openxmlformats.org/officeDocument/2006/relationships/table" Target="/xl/tables/table3.xml" Id="R74c3d434b098435a"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36" customHeight="1">
      <x:c r="A1" s="38" t="s">
        <x:v>0</x:v>
      </x:c>
      <x:c r="B1" s="38"/>
      <x:c r="C1" s="38"/>
      <x:c r="D1" s="38"/>
      <x:c r="E1" s="38"/>
      <x:c r="F1" s="38"/>
      <x:c r="G1" s="38"/>
      <x:c r="H1" s="38"/>
      <x:c r="I1" s="38"/>
      <x:c r="J1" s="38"/>
      <x:c r="K1" s="38"/>
      <x:c r="L1" s="38"/>
      <x:c r="M1" s="38"/>
      <x:c r="N1" s="38"/>
    </x:row>
    <x:row r="2" ht="24" customHeight="1">
      <x:c r="A2" s="39" t="s">
        <x:v>1</x:v>
      </x:c>
      <x:c r="B2" s="39"/>
      <x:c r="C2" s="39"/>
      <x:c r="D2" s="39"/>
      <x:c r="E2" s="39"/>
      <x:c r="F2" s="39"/>
      <x:c r="G2" s="39"/>
      <x:c r="H2" s="39"/>
      <x:c r="I2" s="39"/>
      <x:c r="J2" s="39"/>
      <x:c r="K2" s="39"/>
      <x:c r="L2" s="39"/>
      <x:c r="M2" s="39"/>
      <x:c r="N2" s="39"/>
    </x:row>
    <x:row r="4">
      <x:c r="A4" s="40" t="s">
        <x:v>2</x:v>
      </x:c>
      <x:c r="B4" s="40"/>
      <x:c r="C4" s="40"/>
      <x:c r="E4" s="40" t="s">
        <x:v>3</x:v>
      </x:c>
      <x:c r="F4" s="40"/>
      <x:c r="G4" s="40"/>
      <x:c r="I4" s="40" t="s">
        <x:v>4</x:v>
      </x:c>
      <x:c r="J4" s="40"/>
      <x:c r="K4" s="40"/>
      <x:c r="M4" s="40" t="s">
        <x:v>5</x:v>
      </x:c>
      <x:c r="N4" s="40"/>
    </x:row>
    <x:row r="5">
      <x:c r="A5" s="41" t="n">
        <x:f>COUNTA(RTM!A8:A107)</x:f>
        <x:v>44</x:v>
      </x:c>
      <x:c r="B5" s="42"/>
      <x:c r="C5" s="43"/>
      <x:c r="E5" s="41" t="n">
        <x:f>COUNTIF(RTM!G8:G107,"Fully Covered")</x:f>
        <x:v>31</x:v>
      </x:c>
      <x:c r="F5" s="42"/>
      <x:c r="G5" s="43"/>
      <x:c r="I5" s="41" t="n">
        <x:f>COUNTIF(RTM!G8:G107,"Partially Covered")</x:f>
        <x:v>1</x:v>
      </x:c>
      <x:c r="J5" s="42"/>
      <x:c r="K5" s="43"/>
      <x:c r="M5" s="41" t="n">
        <x:f>COUNTIF(RTM!G8:G107,"Not Covered")</x:f>
        <x:v>12</x:v>
      </x:c>
      <x:c r="N5" s="43"/>
    </x:row>
    <x:row r="6">
      <x:c r="A6" s="44"/>
      <x:c r="B6" s="45"/>
      <x:c r="C6" s="46"/>
      <x:c r="E6" s="44"/>
      <x:c r="F6" s="45"/>
      <x:c r="G6" s="46"/>
      <x:c r="I6" s="44"/>
      <x:c r="J6" s="45"/>
      <x:c r="K6" s="46"/>
      <x:c r="M6" s="44"/>
      <x:c r="N6" s="46"/>
    </x:row>
    <x:row r="8">
      <x:c r="A8" s="17" t="s">
        <x:v>6</x:v>
      </x:c>
      <x:c r="B8" s="17" t="s">
        <x:v>7</x:v>
      </x:c>
      <x:c r="C8" s="17" t="s">
        <x:v>8</x:v>
      </x:c>
      <x:c r="D8" s="17" t="s">
        <x:v>9</x:v>
      </x:c>
      <x:c r="E8" s="17" t="s">
        <x:v>10</x:v>
      </x:c>
    </x:row>
    <x:row r="9">
      <x:c r="A9" s="18" t="s">
        <x:v>3</x:v>
      </x:c>
      <x:c r="B9" s="18" t="n">
        <x:f>COUNTIF(RTM!G8:G107,"Fully Covered")</x:f>
        <x:v>31</x:v>
      </x:c>
      <x:c r="C9" s="18" t="n">
        <x:f>COUNTIFS(RTM!B8:B107,"Site Scenario",RTM!G8:G107,"Fully Covered")</x:f>
        <x:v>13</x:v>
      </x:c>
      <x:c r="D9" s="18" t="n">
        <x:f>COUNTIFS(RTM!B8:B107,"Site API Scenario",RTM!G8:G107,"Fully Covered")</x:f>
        <x:v>14</x:v>
      </x:c>
      <x:c r="E9" s="18" t="n">
        <x:f>COUNTIFS(RTM!B8:B107,"Tester-Derived",RTM!G8:G107,"Fully Covered")</x:f>
        <x:v>4</x:v>
      </x:c>
    </x:row>
    <x:row r="10">
      <x:c r="A10" s="18" t="s">
        <x:v>4</x:v>
      </x:c>
      <x:c r="B10" s="18" t="n">
        <x:f>COUNTIF(RTM!G8:G107,"Partially Covered")</x:f>
        <x:v>1</x:v>
      </x:c>
      <x:c r="C10" s="18" t="n">
        <x:f>COUNTIFS(RTM!B8:B107,"Site Scenario",RTM!G8:G107,"Partially Covered")</x:f>
        <x:v>1</x:v>
      </x:c>
      <x:c r="D10" s="18" t="n">
        <x:f>COUNTIFS(RTM!B8:B107,"Site API Scenario",RTM!G8:G107,"Partially Covered")</x:f>
        <x:v>0</x:v>
      </x:c>
      <x:c r="E10" s="18" t="n">
        <x:f>COUNTIFS(RTM!B8:B107,"Tester-Derived",RTM!G8:G107,"Partially Covered")</x:f>
        <x:v>0</x:v>
      </x:c>
    </x:row>
    <x:row r="11">
      <x:c r="A11" s="18" t="s">
        <x:v>5</x:v>
      </x:c>
      <x:c r="B11" s="18" t="n">
        <x:f>COUNTIF(RTM!G8:G107,"Not Covered")</x:f>
        <x:v>12</x:v>
      </x:c>
      <x:c r="C11" s="18" t="n">
        <x:f>COUNTIFS(RTM!B8:B107,"Site Scenario",RTM!G8:G107,"Not Covered")</x:f>
        <x:v>12</x:v>
      </x:c>
      <x:c r="D11" s="18" t="n">
        <x:f>COUNTIFS(RTM!B8:B107,"Site API Scenario",RTM!G8:G107,"Not Covered")</x:f>
        <x:v>0</x:v>
      </x:c>
      <x:c r="E11" s="18" t="n">
        <x:f>COUNTIFS(RTM!B8:B107,"Tester-Derived",RTM!G8:G107,"Not Covered")</x:f>
        <x:v>0</x:v>
      </x:c>
    </x:row>
    <x:row r="14">
      <x:c r="A14" s="19" t="s">
        <x:v>11</x:v>
      </x:c>
      <x:c r="B14" s="19" t="s">
        <x:v>7</x:v>
      </x:c>
      <x:c r="C14" s="19" t="s">
        <x:v>12</x:v>
      </x:c>
      <x:c r="D14" s="19" t="s">
        <x:v>13</x:v>
      </x:c>
    </x:row>
    <x:row r="15" ht="37.5">
      <x:c r="A15" s="20" t="s">
        <x:v>14</x:v>
      </x:c>
      <x:c r="B15" s="20" t="n">
        <x:f>COUNTIF(RTM!O8:O107,"Pass")</x:f>
        <x:v>30</x:v>
      </x:c>
      <x:c r="C15" s="20" t="n">
        <x:f>0</x:f>
        <x:v>0</x:v>
      </x:c>
      <x:c r="D15" s="20" t="s">
        <x:v>15</x:v>
      </x:c>
    </x:row>
    <x:row r="16" ht="37.5">
      <x:c r="A16" s="20" t="s">
        <x:v>16</x:v>
      </x:c>
      <x:c r="B16" s="20" t="n">
        <x:f>COUNTIF(RTM!O8:O107,"Fail")</x:f>
        <x:v>2</x:v>
      </x:c>
      <x:c r="C16" s="20" t="n">
        <x:f>COUNTIF(RTM!O8:O107,"Fail")</x:f>
        <x:v>2</x:v>
      </x:c>
      <x:c r="D16" s="20" t="s">
        <x:v>17</x:v>
      </x:c>
    </x:row>
    <x:row r="17" ht="25">
      <x:c r="A17" s="20" t="s">
        <x:v>18</x:v>
      </x:c>
      <x:c r="B17" s="20" t="n">
        <x:f>COUNTIF(RTM!O8:O107,"Not Run")</x:f>
        <x:v>12</x:v>
      </x:c>
      <x:c r="C17" s="20" t="n">
        <x:f>0</x:f>
        <x:v>0</x:v>
      </x:c>
      <x:c r="D17" s="20" t="s">
        <x:v>19</x:v>
      </x:c>
    </x:row>
    <x:row r="20" ht="15.5">
      <x:c r="A20" s="28" t="s">
        <x:v>20</x:v>
      </x:c>
      <x:c r="B20" s="28"/>
      <x:c r="C20" s="28"/>
      <x:c r="D20" s="28"/>
      <x:c r="E20" s="28"/>
      <x:c r="F20" s="28"/>
      <x:c r="G20" s="28"/>
      <x:c r="H20" s="28"/>
      <x:c r="I20" s="28"/>
      <x:c r="J20" s="28"/>
      <x:c r="K20" s="28"/>
      <x:c r="L20" s="28"/>
      <x:c r="M20" s="28"/>
      <x:c r="N20" s="28"/>
    </x:row>
    <x:row r="21" ht="30" customHeight="1">
      <x:c r="A21" s="29" t="str">
        <x:v>Current strength: all 14 official API requirements are fully mapped and independently verified by both Postman and Playwright. Coverage status remains separate from execution outcome.
Fresh Postman verification: the corrected 14-request collection ran on 2026-08-09 with one iteration, 42 of 42 assertions passed, zero failures, and zero errors.
Historical baseline: the 2026-08-01 Postman run recorded 37 assertions, 28 passes, 9 assertion failures, and 2 runner errors. It remains preserved separately to show the original test-script, credential, and request-configuration reconciliation.
Current API status: Postman 14/14 Pass; Playwright 14/14 Pass; confirmed open API defects 0. BUG-API-001 and BUG-API-002 remain rejected and auditable.</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1:N1"/>
    <x:mergeCell ref="A2:N2"/>
    <x:mergeCell ref="A4:C4"/>
    <x:mergeCell ref="A5:C6"/>
    <x:mergeCell ref="E4:G4"/>
    <x:mergeCell ref="E5:G6"/>
    <x:mergeCell ref="I4:K4"/>
    <x:mergeCell ref="I5:K6"/>
    <x:mergeCell ref="M4:N4"/>
    <x:mergeCell ref="M5:N6"/>
  </x:mergeCells>
  <x:pageMargins left="0.7" right="0.7" top="0.75" bottom="0.75" header="0.3" footer="0.3"/>
  <x:drawing xmlns:r="http://schemas.openxmlformats.org/officeDocument/2006/relationships" r:id="R35491727d0644fec"/>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21</x:v>
      </x:c>
      <x:c r="B1" s="38"/>
      <x:c r="C1" s="38"/>
      <x:c r="D1" s="38"/>
      <x:c r="E1" s="38"/>
      <x:c r="F1" s="38"/>
      <x:c r="G1" s="38"/>
      <x:c r="H1" s="38"/>
      <x:c r="I1" s="38"/>
      <x:c r="J1" s="38"/>
      <x:c r="K1" s="38"/>
      <x:c r="L1" s="38"/>
      <x:c r="M1" s="38"/>
    </x:row>
    <x:row r="2" ht="24" customHeight="1">
      <x:c r="A2" s="39" t="s">
        <x:v>22</x:v>
      </x:c>
      <x:c r="B2" s="39"/>
      <x:c r="C2" s="39"/>
      <x:c r="D2" s="39"/>
      <x:c r="E2" s="39"/>
      <x:c r="F2" s="39"/>
      <x:c r="G2" s="39"/>
      <x:c r="H2" s="39"/>
      <x:c r="I2" s="39"/>
      <x:c r="J2" s="39"/>
      <x:c r="K2" s="39"/>
      <x:c r="L2" s="39"/>
      <x:c r="M2" s="39"/>
    </x:row>
    <x:row r="4">
      <x:c r="A4" s="47" t="s">
        <x:v>23</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x:v>
      </x:c>
      <x:c r="G8" s="115" t="str">
        <x:v>Partially Covered</x:v>
      </x:c>
      <x:c r="H8" s="89" t="str">
        <x:v>Registration and deletion are covered, but the complete continuous workflow and optional newsletter/partner selections are not documented.</x:v>
      </x:c>
      <x:c r="I8" s="107" t="str">
        <x:v>Functional — Positive</x:v>
      </x:c>
      <x:c r="J8" s="107" t="str">
        <x:v>Critical</x:v>
      </x:c>
      <x:c r="K8" s="107" t="str">
        <x:v>QA | automationexercise.com</x:v>
      </x:c>
      <x:c r="L8" s="107" t="str">
        <x:v>Pass</x:v>
      </x:c>
      <x:c r="M8" s="107" t="str">
        <x:v>N/A</x:v>
      </x:c>
      <x:c r="N8" s="107" t="str">
        <x:v>Not Automated</x:v>
      </x:c>
      <x:c r="O8" s="116" t="str">
        <x:v>Pass</x:v>
      </x:c>
      <x:c r="P8" s="89" t="str">
        <x:v>..\Screenshots\AE-SIGNUP-001.png
..\Screenshots\AE-SIGNUP-002.png
..\Screenshots\AE-ACCOUNT-001.png</x:v>
      </x:c>
      <x:c r="Q8" s="89"/>
      <x:c r="R8" s="90" t="str">
        <x:v>Add an end-to-end registration case or explicitly document why the workflow is decomposed. Verify newsletter and partner selections if they are in scope.</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x:c r="G21" s="119" t="str">
        <x:v>Not Covered</x:v>
      </x:c>
      <x:c r="H21" s="93" t="str">
        <x:v>No checkout registration-during-order workflow exists.</x:v>
      </x:c>
      <x:c r="I21" s="109" t="str">
        <x:v>End-to-End — Positive</x:v>
      </x:c>
      <x:c r="J21" s="109" t="str">
        <x:v>Critical</x:v>
      </x:c>
      <x:c r="K21" s="109" t="str">
        <x:v>QA | automationexercise.com</x:v>
      </x:c>
      <x:c r="L21" s="109" t="str">
        <x:v>Not Run</x:v>
      </x:c>
      <x:c r="M21" s="109" t="str">
        <x:v>N/A</x:v>
      </x:c>
      <x:c r="N21" s="109" t="str">
        <x:v>Not Automated</x:v>
      </x:c>
      <x:c r="O21" s="120" t="str">
        <x:v>Not Run</x:v>
      </x:c>
      <x:c r="P21" s="93"/>
      <x:c r="Q21" s="93"/>
      <x:c r="R21" s="94" t="str">
        <x:v>Create an end-to-end checkout case for registration during checkout.</x:v>
      </x:c>
    </x:row>
    <x:row r="22" ht="48" customHeight="1">
      <x:c r="A22" s="108" t="str">
        <x:v>REQ-ORDER-002</x:v>
      </x:c>
      <x:c r="B22" s="109" t="str">
        <x:v>Site Scenario</x:v>
      </x:c>
      <x:c r="C22" s="109" t="str">
        <x:v>SRC-TC-15</x:v>
      </x:c>
      <x:c r="D22" s="109" t="str">
        <x:v>Checkout</x:v>
      </x:c>
      <x:c r="E22" s="109" t="str">
        <x:v>Place Order: Register before Checkout</x:v>
      </x:c>
      <x:c r="F22" s="109"/>
      <x:c r="G22" s="119" t="str">
        <x:v>Not Covered</x:v>
      </x:c>
      <x:c r="H22" s="93" t="str">
        <x:v>No register-before-checkout workflow exists.</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Create an end-to-end checkout case for registration before checkout.</x:v>
      </x:c>
    </x:row>
    <x:row r="23" ht="48" customHeight="1">
      <x:c r="A23" s="108" t="str">
        <x:v>REQ-ORDER-003</x:v>
      </x:c>
      <x:c r="B23" s="109" t="str">
        <x:v>Site Scenario</x:v>
      </x:c>
      <x:c r="C23" s="109" t="str">
        <x:v>SRC-TC-16</x:v>
      </x:c>
      <x:c r="D23" s="109" t="str">
        <x:v>Checkout</x:v>
      </x:c>
      <x:c r="E23" s="109" t="str">
        <x:v>Place Order: Login before Checkout</x:v>
      </x:c>
      <x:c r="F23" s="109"/>
      <x:c r="G23" s="119" t="str">
        <x:v>Not Covered</x:v>
      </x:c>
      <x:c r="H23" s="93" t="str">
        <x:v>No login-before-checkout workflow exists.</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Create an end-to-end checkout case for login before checkout.</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x:c r="G25" s="119" t="str">
        <x:v>Not Covered</x:v>
      </x:c>
      <x:c r="H25" s="93" t="str">
        <x:v>No category-navigation test exists.</x:v>
      </x:c>
      <x:c r="I25" s="109" t="str">
        <x:v>Functional — Positive</x:v>
      </x:c>
      <x:c r="J25" s="109" t="str">
        <x:v>Medium</x:v>
      </x:c>
      <x:c r="K25" s="109" t="str">
        <x:v>QA | automationexercise.com</x:v>
      </x:c>
      <x:c r="L25" s="109" t="str">
        <x:v>Not Run</x:v>
      </x:c>
      <x:c r="M25" s="109" t="str">
        <x:v>N/A</x:v>
      </x:c>
      <x:c r="N25" s="109" t="str">
        <x:v>Not Automated</x:v>
      </x:c>
      <x:c r="O25" s="120" t="str">
        <x:v>Not Run</x:v>
      </x:c>
      <x:c r="P25" s="93"/>
      <x:c r="Q25" s="93"/>
      <x:c r="R25" s="94" t="str">
        <x:v>Create category and subcategory navigation coverage.</x:v>
      </x:c>
    </x:row>
    <x:row r="26" ht="48" customHeight="1">
      <x:c r="A26" s="108" t="str">
        <x:v>REQ-CATALOG-002</x:v>
      </x:c>
      <x:c r="B26" s="109" t="str">
        <x:v>Site Scenario</x:v>
      </x:c>
      <x:c r="C26" s="109" t="str">
        <x:v>SRC-TC-19</x:v>
      </x:c>
      <x:c r="D26" s="109" t="str">
        <x:v>Catalog</x:v>
      </x:c>
      <x:c r="E26" s="109" t="str">
        <x:v>View &amp; Cart Brand Products</x:v>
      </x:c>
      <x:c r="F26" s="109"/>
      <x:c r="G26" s="119" t="str">
        <x:v>Not Covered</x:v>
      </x:c>
      <x:c r="H26" s="93" t="str">
        <x:v>No brand-navigation test exists.</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Create brand-list and brand-switching coverage.</x:v>
      </x:c>
    </x:row>
    <x:row r="27" ht="48" customHeight="1">
      <x:c r="A27" s="108" t="str">
        <x:v>REQ-CART-004</x:v>
      </x:c>
      <x:c r="B27" s="109" t="str">
        <x:v>Site Scenario</x:v>
      </x:c>
      <x:c r="C27" s="109" t="str">
        <x:v>SRC-TC-20</x:v>
      </x:c>
      <x:c r="D27" s="109" t="str">
        <x:v>Search / Cart</x:v>
      </x:c>
      <x:c r="E27" s="109" t="str">
        <x:v>Search Products and Verify Cart After Login</x:v>
      </x:c>
      <x:c r="F27" s="109"/>
      <x:c r="G27" s="119" t="str">
        <x:v>Not Covered</x:v>
      </x:c>
      <x:c r="H27" s="93" t="str">
        <x:v>No cart-persistence-after-login workflow exists.</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Create search, cart, login, and cart-persistence coverage.</x:v>
      </x:c>
    </x:row>
    <x:row r="28" ht="48" customHeight="1">
      <x:c r="A28" s="108" t="str">
        <x:v>REQ-REVIEW-001</x:v>
      </x:c>
      <x:c r="B28" s="109" t="str">
        <x:v>Site Scenario</x:v>
      </x:c>
      <x:c r="C28" s="109" t="str">
        <x:v>SRC-TC-21</x:v>
      </x:c>
      <x:c r="D28" s="109" t="str">
        <x:v>Product Review</x:v>
      </x:c>
      <x:c r="E28" s="109" t="str">
        <x:v>Add review on product</x:v>
      </x:c>
      <x:c r="F28" s="109"/>
      <x:c r="G28" s="119" t="str">
        <x:v>Not Covered</x:v>
      </x:c>
      <x:c r="H28" s="93" t="str">
        <x:v>No product-review test exists.</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Create product-review submission coverage.</x:v>
      </x:c>
    </x:row>
    <x:row r="29" ht="48" customHeight="1">
      <x:c r="A29" s="108" t="str">
        <x:v>REQ-CART-005</x:v>
      </x:c>
      <x:c r="B29" s="109" t="str">
        <x:v>Site Scenario</x:v>
      </x:c>
      <x:c r="C29" s="109" t="str">
        <x:v>SRC-TC-22</x:v>
      </x:c>
      <x:c r="D29" s="109" t="str">
        <x:v>Recommended Items</x:v>
      </x:c>
      <x:c r="E29" s="109" t="str">
        <x:v>Add to cart from Recommended items</x:v>
      </x:c>
      <x:c r="F29" s="109"/>
      <x:c r="G29" s="119" t="str">
        <x:v>Not Covered</x:v>
      </x:c>
      <x:c r="H29" s="93" t="str">
        <x:v>No recommended-item cart test exists.</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Create recommended-item cart coverage.</x:v>
      </x:c>
    </x:row>
    <x:row r="30" ht="48" customHeight="1">
      <x:c r="A30" s="108" t="str">
        <x:v>REQ-ORDER-004</x:v>
      </x:c>
      <x:c r="B30" s="109" t="str">
        <x:v>Site Scenario</x:v>
      </x:c>
      <x:c r="C30" s="109" t="str">
        <x:v>SRC-TC-23</x:v>
      </x:c>
      <x:c r="D30" s="109" t="str">
        <x:v>Checkout</x:v>
      </x:c>
      <x:c r="E30" s="109" t="str">
        <x:v>Verify address details in checkout page</x:v>
      </x:c>
      <x:c r="F30" s="109"/>
      <x:c r="G30" s="119" t="str">
        <x:v>Not Covered</x:v>
      </x:c>
      <x:c r="H30" s="93" t="str">
        <x:v>No billing/delivery address verification exists.</x:v>
      </x:c>
      <x:c r="I30" s="109" t="str">
        <x:v>Functional — Positive</x:v>
      </x:c>
      <x:c r="J30" s="109" t="str">
        <x:v>Critical</x:v>
      </x:c>
      <x:c r="K30" s="109" t="str">
        <x:v>QA | automationexercise.com</x:v>
      </x:c>
      <x:c r="L30" s="109" t="str">
        <x:v>Not Run</x:v>
      </x:c>
      <x:c r="M30" s="109" t="str">
        <x:v>N/A</x:v>
      </x:c>
      <x:c r="N30" s="109" t="str">
        <x:v>Not Automated</x:v>
      </x:c>
      <x:c r="O30" s="120" t="str">
        <x:v>Not Run</x:v>
      </x:c>
      <x:c r="P30" s="93"/>
      <x:c r="Q30" s="93"/>
      <x:c r="R30" s="94" t="str">
        <x:v>Create checkout-address verification coverage.</x:v>
      </x:c>
    </x:row>
    <x:row r="31" ht="48" customHeight="1">
      <x:c r="A31" s="108" t="str">
        <x:v>REQ-ORDER-005</x:v>
      </x:c>
      <x:c r="B31" s="109" t="str">
        <x:v>Site Scenario</x:v>
      </x:c>
      <x:c r="C31" s="109" t="str">
        <x:v>SRC-TC-24</x:v>
      </x:c>
      <x:c r="D31" s="109" t="str">
        <x:v>Checkout / Invoice</x:v>
      </x:c>
      <x:c r="E31" s="109" t="str">
        <x:v>Download Invoice after purchase order</x:v>
      </x:c>
      <x:c r="F31" s="109"/>
      <x:c r="G31" s="119" t="str">
        <x:v>Not Covered</x:v>
      </x:c>
      <x:c r="H31" s="93" t="str">
        <x:v>No invoice-download test exists.</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Create purchase and invoice-download coverage.</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x:c r="G32" s="119" t="str">
        <x:v>Not Covered</x:v>
      </x:c>
      <x:c r="H32" s="93" t="str">
        <x:v>No arrow-assisted scrolling test exists.</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Create scroll-down and arrow-assisted scroll-up coverage.</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x:c r="G33" s="119" t="str">
        <x:v>Not Covered</x:v>
      </x:c>
      <x:c r="H33" s="93" t="str">
        <x:v>No manual scroll-up test exists.</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Create manual scroll-down and scroll-up coverage.</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6a8c95dde81b4b9a"/>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24</x:v>
      </x:c>
      <x:c r="B1" s="38"/>
      <x:c r="C1" s="38"/>
      <x:c r="D1" s="38"/>
    </x:row>
    <x:row r="2" ht="24" customHeight="1">
      <x:c r="A2" s="39" t="s">
        <x:v>25</x:v>
      </x:c>
      <x:c r="B2" s="39"/>
      <x:c r="C2" s="39"/>
      <x:c r="D2" s="39"/>
    </x:row>
    <x:row r="4" ht="38" customHeight="1">
      <x:c r="A4" s="1" t="s">
        <x:v>26</x:v>
      </x:c>
      <x:c r="B4" s="2" t="s">
        <x:v>27</x:v>
      </x:c>
      <x:c r="C4" s="2" t="s">
        <x:v>28</x:v>
      </x:c>
      <x:c r="D4" s="3" t="s">
        <x:v>29</x:v>
      </x:c>
    </x:row>
    <x:row r="5" ht="264.5" customHeight="1">
      <x:c r="A5" s="4" t="s">
        <x:v>30</x:v>
      </x:c>
      <x:c r="B5" s="5" t="s">
        <x:v>31</x:v>
      </x:c>
      <x:c r="C5" s="5">
        <x:v>18</x:v>
      </x:c>
      <x:c r="D5" s="14" t="s">
        <x:v>32</x:v>
      </x:c>
    </x:row>
    <x:row r="6" ht="264.5" customHeight="1">
      <x:c r="A6" s="4" t="s">
        <x:v>33</x:v>
      </x:c>
      <x:c r="B6" s="5" t="s">
        <x:v>34</x:v>
      </x:c>
      <x:c r="C6" s="5">
        <x:v>10</x:v>
      </x:c>
      <x:c r="D6" s="14" t="s">
        <x:v>35</x:v>
      </x:c>
    </x:row>
    <x:row r="7" ht="264.5" customHeight="1">
      <x:c r="A7" s="4" t="s">
        <x:v>36</x:v>
      </x:c>
      <x:c r="B7" s="5" t="s">
        <x:v>37</x:v>
      </x:c>
      <x:c r="C7" s="5">
        <x:v>8</x:v>
      </x:c>
      <x:c r="D7" s="14" t="s">
        <x:v>38</x:v>
      </x:c>
    </x:row>
    <x:row r="8" ht="264.5" customHeight="1">
      <x:c r="A8" s="4" t="s">
        <x:v>39</x:v>
      </x:c>
      <x:c r="B8" s="5" t="s">
        <x:v>40</x:v>
      </x:c>
      <x:c r="C8" s="5">
        <x:v>10</x:v>
      </x:c>
      <x:c r="D8" s="14" t="s">
        <x:v>41</x:v>
      </x:c>
    </x:row>
    <x:row r="9" ht="264.5" customHeight="1">
      <x:c r="A9" s="4" t="s">
        <x:v>42</x:v>
      </x:c>
      <x:c r="B9" s="5" t="s">
        <x:v>43</x:v>
      </x:c>
      <x:c r="C9" s="5">
        <x:v>8</x:v>
      </x:c>
      <x:c r="D9" s="14" t="s">
        <x:v>44</x:v>
      </x:c>
    </x:row>
    <x:row r="10" ht="264.5" customHeight="1">
      <x:c r="A10" s="4" t="s">
        <x:v>45</x:v>
      </x:c>
      <x:c r="B10" s="5" t="s">
        <x:v>46</x:v>
      </x:c>
      <x:c r="C10" s="5">
        <x:v>11</x:v>
      </x:c>
      <x:c r="D10" s="14" t="s">
        <x:v>47</x:v>
      </x:c>
    </x:row>
    <x:row r="11" ht="264.5" customHeight="1">
      <x:c r="A11" s="4" t="s">
        <x:v>48</x:v>
      </x:c>
      <x:c r="B11" s="5" t="s">
        <x:v>49</x:v>
      </x:c>
      <x:c r="C11" s="5">
        <x:v>5</x:v>
      </x:c>
      <x:c r="D11" s="14" t="s">
        <x:v>50</x:v>
      </x:c>
    </x:row>
    <x:row r="12" ht="264.5" customHeight="1">
      <x:c r="A12" s="4" t="s">
        <x:v>51</x:v>
      </x:c>
      <x:c r="B12" s="5" t="s">
        <x:v>52</x:v>
      </x:c>
      <x:c r="C12" s="5">
        <x:v>9</x:v>
      </x:c>
      <x:c r="D12" s="14" t="s">
        <x:v>53</x:v>
      </x:c>
    </x:row>
    <x:row r="13" ht="264.5" customHeight="1">
      <x:c r="A13" s="4" t="s">
        <x:v>54</x:v>
      </x:c>
      <x:c r="B13" s="5" t="s">
        <x:v>55</x:v>
      </x:c>
      <x:c r="C13" s="5">
        <x:v>8</x:v>
      </x:c>
      <x:c r="D13" s="14" t="s">
        <x:v>56</x:v>
      </x:c>
    </x:row>
    <x:row r="14" ht="264.5" customHeight="1">
      <x:c r="A14" s="4" t="s">
        <x:v>57</x:v>
      </x:c>
      <x:c r="B14" s="5" t="s">
        <x:v>58</x:v>
      </x:c>
      <x:c r="C14" s="5">
        <x:v>7</x:v>
      </x:c>
      <x:c r="D14" s="14" t="s">
        <x:v>59</x:v>
      </x:c>
    </x:row>
    <x:row r="15" ht="264.5" customHeight="1">
      <x:c r="A15" s="4" t="s">
        <x:v>60</x:v>
      </x:c>
      <x:c r="B15" s="5" t="s">
        <x:v>61</x:v>
      </x:c>
      <x:c r="C15" s="5">
        <x:v>8</x:v>
      </x:c>
      <x:c r="D15" s="14" t="s">
        <x:v>62</x:v>
      </x:c>
    </x:row>
    <x:row r="16" ht="264.5" customHeight="1">
      <x:c r="A16" s="4" t="s">
        <x:v>63</x:v>
      </x:c>
      <x:c r="B16" s="5" t="s">
        <x:v>64</x:v>
      </x:c>
      <x:c r="C16" s="5">
        <x:v>10</x:v>
      </x:c>
      <x:c r="D16" s="14" t="s">
        <x:v>65</x:v>
      </x:c>
    </x:row>
    <x:row r="17" ht="264.5" customHeight="1">
      <x:c r="A17" s="4" t="s">
        <x:v>66</x:v>
      </x:c>
      <x:c r="B17" s="5" t="s">
        <x:v>67</x:v>
      </x:c>
      <x:c r="C17" s="5">
        <x:v>9</x:v>
      </x:c>
      <x:c r="D17" s="14" t="s">
        <x:v>68</x:v>
      </x:c>
    </x:row>
    <x:row r="18" ht="264.5" customHeight="1">
      <x:c r="A18" s="4" t="s">
        <x:v>69</x:v>
      </x:c>
      <x:c r="B18" s="5" t="s">
        <x:v>70</x:v>
      </x:c>
      <x:c r="C18" s="5">
        <x:v>20</x:v>
      </x:c>
      <x:c r="D18" s="14" t="s">
        <x:v>71</x:v>
      </x:c>
    </x:row>
    <x:row r="19" ht="264.5" customHeight="1">
      <x:c r="A19" s="4" t="s">
        <x:v>72</x:v>
      </x:c>
      <x:c r="B19" s="5" t="s">
        <x:v>73</x:v>
      </x:c>
      <x:c r="C19" s="5">
        <x:v>18</x:v>
      </x:c>
      <x:c r="D19" s="14" t="s">
        <x:v>74</x:v>
      </x:c>
    </x:row>
    <x:row r="20" ht="264.5" customHeight="1">
      <x:c r="A20" s="4" t="s">
        <x:v>75</x:v>
      </x:c>
      <x:c r="B20" s="5" t="s">
        <x:v>76</x:v>
      </x:c>
      <x:c r="C20" s="5">
        <x:v>17</x:v>
      </x:c>
      <x:c r="D20" s="14" t="s">
        <x:v>77</x:v>
      </x:c>
    </x:row>
    <x:row r="21" ht="264.5" customHeight="1">
      <x:c r="A21" s="4" t="s">
        <x:v>78</x:v>
      </x:c>
      <x:c r="B21" s="5" t="s">
        <x:v>79</x:v>
      </x:c>
      <x:c r="C21" s="5">
        <x:v>8</x:v>
      </x:c>
      <x:c r="D21" s="14" t="s">
        <x:v>80</x:v>
      </x:c>
    </x:row>
    <x:row r="22" ht="264.5" customHeight="1">
      <x:c r="A22" s="4" t="s">
        <x:v>81</x:v>
      </x:c>
      <x:c r="B22" s="5" t="s">
        <x:v>82</x:v>
      </x:c>
      <x:c r="C22" s="5">
        <x:v>8</x:v>
      </x:c>
      <x:c r="D22" s="14" t="s">
        <x:v>83</x:v>
      </x:c>
    </x:row>
    <x:row r="23" ht="264.5" customHeight="1">
      <x:c r="A23" s="4" t="s">
        <x:v>84</x:v>
      </x:c>
      <x:c r="B23" s="5" t="s">
        <x:v>85</x:v>
      </x:c>
      <x:c r="C23" s="5">
        <x:v>8</x:v>
      </x:c>
      <x:c r="D23" s="14" t="s">
        <x:v>86</x:v>
      </x:c>
    </x:row>
    <x:row r="24" ht="264.5" customHeight="1">
      <x:c r="A24" s="4" t="s">
        <x:v>87</x:v>
      </x:c>
      <x:c r="B24" s="5" t="s">
        <x:v>88</x:v>
      </x:c>
      <x:c r="C24" s="5">
        <x:v>12</x:v>
      </x:c>
      <x:c r="D24" s="14" t="s">
        <x:v>89</x:v>
      </x:c>
    </x:row>
    <x:row r="25" ht="264.5" customHeight="1">
      <x:c r="A25" s="4" t="s">
        <x:v>90</x:v>
      </x:c>
      <x:c r="B25" s="5" t="s">
        <x:v>91</x:v>
      </x:c>
      <x:c r="C25" s="5">
        <x:v>9</x:v>
      </x:c>
      <x:c r="D25" s="14" t="s">
        <x:v>92</x:v>
      </x:c>
    </x:row>
    <x:row r="26" ht="264.5" customHeight="1">
      <x:c r="A26" s="4" t="s">
        <x:v>93</x:v>
      </x:c>
      <x:c r="B26" s="5" t="s">
        <x:v>94</x:v>
      </x:c>
      <x:c r="C26" s="5">
        <x:v>7</x:v>
      </x:c>
      <x:c r="D26" s="14" t="s">
        <x:v>95</x:v>
      </x:c>
    </x:row>
    <x:row r="27" ht="264.5" customHeight="1">
      <x:c r="A27" s="4" t="s">
        <x:v>96</x:v>
      </x:c>
      <x:c r="B27" s="5" t="s">
        <x:v>97</x:v>
      </x:c>
      <x:c r="C27" s="5">
        <x:v>15</x:v>
      </x:c>
      <x:c r="D27" s="14" t="s">
        <x:v>98</x:v>
      </x:c>
    </x:row>
    <x:row r="28" ht="264.5" customHeight="1">
      <x:c r="A28" s="4" t="s">
        <x:v>99</x:v>
      </x:c>
      <x:c r="B28" s="5" t="s">
        <x:v>100</x:v>
      </x:c>
      <x:c r="C28" s="5">
        <x:v>22</x:v>
      </x:c>
      <x:c r="D28" s="14" t="s">
        <x:v>101</x:v>
      </x:c>
    </x:row>
    <x:row r="29" ht="264.5" customHeight="1">
      <x:c r="A29" s="4" t="s">
        <x:v>102</x:v>
      </x:c>
      <x:c r="B29" s="5" t="s">
        <x:v>103</x:v>
      </x:c>
      <x:c r="C29" s="5">
        <x:v>7</x:v>
      </x:c>
      <x:c r="D29" s="14" t="s">
        <x:v>104</x:v>
      </x:c>
    </x:row>
    <x:row r="30" ht="264.5" customHeight="1">
      <x:c r="A30" s="9" t="s">
        <x:v>105</x:v>
      </x:c>
      <x:c r="B30" s="10" t="s">
        <x:v>106</x:v>
      </x:c>
      <x:c r="C30" s="10">
        <x:v>7</x:v>
      </x:c>
      <x:c r="D30" s="15" t="s">
        <x:v>107</x:v>
      </x:c>
    </x:row>
  </x:sheetData>
  <x:mergeCells>
    <x:mergeCell ref="A1:D1"/>
    <x:mergeCell ref="A2:D2"/>
  </x:mergeCells>
  <x:pageMargins left="0.7" right="0.7" top="0.75" bottom="0.75" header="0.3" footer="0.3"/>
  <x:tableParts count="1">
    <x:tablePart xmlns:r="http://schemas.openxmlformats.org/officeDocument/2006/relationships" r:id="R3b945217db314ad5"/>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108</x:v>
      </x:c>
      <x:c r="B1" s="53"/>
      <x:c r="C1" s="53"/>
      <x:c r="D1" s="53"/>
      <x:c r="E1" s="53"/>
      <x:c r="F1" s="53"/>
      <x:c r="G1" s="53"/>
      <x:c r="H1" s="53"/>
    </x:row>
    <x:row r="2" ht="24" customHeight="1">
      <x:c r="A2" s="54" t="s">
        <x:v>109</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110</x:v>
      </x:c>
      <x:c r="B4" s="16" t="s">
        <x:v>27</x:v>
      </x:c>
      <x:c r="C4" s="16" t="s">
        <x:v>111</x:v>
      </x:c>
      <x:c r="D4" s="16" t="s">
        <x:v>112</x:v>
      </x:c>
      <x:c r="E4" s="16" t="s">
        <x:v>113</x:v>
      </x:c>
      <x:c r="F4" s="16" t="s">
        <x:v>114</x:v>
      </x:c>
      <x:c r="G4" s="16" t="s">
        <x:v>115</x:v>
      </x:c>
      <x:c r="H4" s="16" t="s">
        <x:v>116</x:v>
      </x:c>
    </x:row>
    <x:row r="5" ht="72" customHeight="1">
      <x:c r="A5" s="5" t="s">
        <x:v>117</x:v>
      </x:c>
      <x:c r="B5" s="5" t="s">
        <x:v>118</x:v>
      </x:c>
      <x:c r="C5" s="5" t="s">
        <x:v>119</x:v>
      </x:c>
      <x:c r="D5" s="5" t="s">
        <x:v>120</x:v>
      </x:c>
      <x:c r="E5" s="5"/>
      <x:c r="F5" s="5">
        <x:v>200</x:v>
      </x:c>
      <x:c r="G5" s="5" t="s">
        <x:v>121</x:v>
      </x:c>
      <x:c r="H5" s="5" t="s">
        <x:v>122</x:v>
      </x:c>
    </x:row>
    <x:row r="6" ht="72" customHeight="1">
      <x:c r="A6" s="5" t="s">
        <x:v>123</x:v>
      </x:c>
      <x:c r="B6" s="5" t="s">
        <x:v>124</x:v>
      </x:c>
      <x:c r="C6" s="5" t="s">
        <x:v>119</x:v>
      </x:c>
      <x:c r="D6" s="5" t="s">
        <x:v>125</x:v>
      </x:c>
      <x:c r="E6" s="5"/>
      <x:c r="F6" s="5">
        <x:v>405</x:v>
      </x:c>
      <x:c r="G6" s="5" t="s">
        <x:v>126</x:v>
      </x:c>
      <x:c r="H6" s="5" t="s">
        <x:v>127</x:v>
      </x:c>
    </x:row>
    <x:row r="7" ht="72" customHeight="1">
      <x:c r="A7" s="5" t="s">
        <x:v>128</x:v>
      </x:c>
      <x:c r="B7" s="5" t="s">
        <x:v>129</x:v>
      </x:c>
      <x:c r="C7" s="5" t="s">
        <x:v>130</x:v>
      </x:c>
      <x:c r="D7" s="5" t="s">
        <x:v>120</x:v>
      </x:c>
      <x:c r="E7" s="5"/>
      <x:c r="F7" s="5">
        <x:v>200</x:v>
      </x:c>
      <x:c r="G7" s="5" t="s">
        <x:v>121</x:v>
      </x:c>
      <x:c r="H7" s="5" t="s">
        <x:v>131</x:v>
      </x:c>
    </x:row>
    <x:row r="8" ht="72" customHeight="1">
      <x:c r="A8" s="5" t="s">
        <x:v>132</x:v>
      </x:c>
      <x:c r="B8" s="5" t="s">
        <x:v>133</x:v>
      </x:c>
      <x:c r="C8" s="5" t="s">
        <x:v>130</x:v>
      </x:c>
      <x:c r="D8" s="5" t="s">
        <x:v>134</x:v>
      </x:c>
      <x:c r="E8" s="5"/>
      <x:c r="F8" s="5">
        <x:v>405</x:v>
      </x:c>
      <x:c r="G8" s="5" t="s">
        <x:v>126</x:v>
      </x:c>
      <x:c r="H8" s="5" t="s">
        <x:v>127</x:v>
      </x:c>
    </x:row>
    <x:row r="9" ht="72" customHeight="1">
      <x:c r="A9" s="5" t="s">
        <x:v>135</x:v>
      </x:c>
      <x:c r="B9" s="5" t="s">
        <x:v>136</x:v>
      </x:c>
      <x:c r="C9" s="5" t="s">
        <x:v>137</x:v>
      </x:c>
      <x:c r="D9" s="5" t="s">
        <x:v>125</x:v>
      </x:c>
      <x:c r="E9" s="5" t="s">
        <x:v>138</x:v>
      </x:c>
      <x:c r="F9" s="5">
        <x:v>200</x:v>
      </x:c>
      <x:c r="G9" s="5" t="s">
        <x:v>121</x:v>
      </x:c>
      <x:c r="H9" s="5" t="s">
        <x:v>139</x:v>
      </x:c>
    </x:row>
    <x:row r="10" ht="72" customHeight="1">
      <x:c r="A10" s="5" t="s">
        <x:v>140</x:v>
      </x:c>
      <x:c r="B10" s="5" t="s">
        <x:v>141</x:v>
      </x:c>
      <x:c r="C10" s="5" t="s">
        <x:v>137</x:v>
      </x:c>
      <x:c r="D10" s="5" t="s">
        <x:v>125</x:v>
      </x:c>
      <x:c r="E10" s="5"/>
      <x:c r="F10" s="5">
        <x:v>400</x:v>
      </x:c>
      <x:c r="G10" s="5" t="s">
        <x:v>126</x:v>
      </x:c>
      <x:c r="H10" s="5" t="s">
        <x:v>142</x:v>
      </x:c>
    </x:row>
    <x:row r="11" ht="72" customHeight="1">
      <x:c r="A11" s="5" t="s">
        <x:v>143</x:v>
      </x:c>
      <x:c r="B11" s="5" t="s">
        <x:v>144</x:v>
      </x:c>
      <x:c r="C11" s="5" t="s">
        <x:v>145</x:v>
      </x:c>
      <x:c r="D11" s="5" t="s">
        <x:v>125</x:v>
      </x:c>
      <x:c r="E11" s="5" t="s">
        <x:v>146</x:v>
      </x:c>
      <x:c r="F11" s="5">
        <x:v>200</x:v>
      </x:c>
      <x:c r="G11" s="5" t="s">
        <x:v>126</x:v>
      </x:c>
      <x:c r="H11" s="5" t="s">
        <x:v>147</x:v>
      </x:c>
    </x:row>
    <x:row r="12" ht="72" customHeight="1">
      <x:c r="A12" s="5" t="s">
        <x:v>148</x:v>
      </x:c>
      <x:c r="B12" s="5" t="s">
        <x:v>149</x:v>
      </x:c>
      <x:c r="C12" s="5" t="s">
        <x:v>145</x:v>
      </x:c>
      <x:c r="D12" s="5" t="s">
        <x:v>125</x:v>
      </x:c>
      <x:c r="E12" s="5" t="s">
        <x:v>150</x:v>
      </x:c>
      <x:c r="F12" s="5">
        <x:v>400</x:v>
      </x:c>
      <x:c r="G12" s="5" t="s">
        <x:v>126</x:v>
      </x:c>
      <x:c r="H12" s="5" t="s">
        <x:v>151</x:v>
      </x:c>
    </x:row>
    <x:row r="13" ht="72" customHeight="1">
      <x:c r="A13" s="5" t="s">
        <x:v>152</x:v>
      </x:c>
      <x:c r="B13" s="5" t="s">
        <x:v>153</x:v>
      </x:c>
      <x:c r="C13" s="5" t="s">
        <x:v>145</x:v>
      </x:c>
      <x:c r="D13" s="5" t="s">
        <x:v>154</x:v>
      </x:c>
      <x:c r="E13" s="5"/>
      <x:c r="F13" s="5">
        <x:v>405</x:v>
      </x:c>
      <x:c r="G13" s="5" t="s">
        <x:v>126</x:v>
      </x:c>
      <x:c r="H13" s="5" t="s">
        <x:v>127</x:v>
      </x:c>
    </x:row>
    <x:row r="14" ht="72" customHeight="1">
      <x:c r="A14" s="5" t="s">
        <x:v>155</x:v>
      </x:c>
      <x:c r="B14" s="5" t="s">
        <x:v>156</x:v>
      </x:c>
      <x:c r="C14" s="5" t="s">
        <x:v>145</x:v>
      </x:c>
      <x:c r="D14" s="5" t="s">
        <x:v>125</x:v>
      </x:c>
      <x:c r="E14" s="5" t="s">
        <x:v>157</x:v>
      </x:c>
      <x:c r="F14" s="5">
        <x:v>404</x:v>
      </x:c>
      <x:c r="G14" s="5" t="s">
        <x:v>126</x:v>
      </x:c>
      <x:c r="H14" s="5" t="s">
        <x:v>158</x:v>
      </x:c>
    </x:row>
    <x:row r="15" ht="72" customHeight="1">
      <x:c r="A15" s="5" t="s">
        <x:v>159</x:v>
      </x:c>
      <x:c r="B15" s="5" t="s">
        <x:v>160</x:v>
      </x:c>
      <x:c r="C15" s="5" t="s">
        <x:v>161</x:v>
      </x:c>
      <x:c r="D15" s="5" t="s">
        <x:v>125</x:v>
      </x:c>
      <x:c r="E15" s="5" t="s">
        <x:v>162</x:v>
      </x:c>
      <x:c r="F15" s="5">
        <x:v>201</x:v>
      </x:c>
      <x:c r="G15" s="5" t="s">
        <x:v>126</x:v>
      </x:c>
      <x:c r="H15" s="5" t="s">
        <x:v>163</x:v>
      </x:c>
    </x:row>
    <x:row r="16" ht="72" customHeight="1">
      <x:c r="A16" s="5" t="s">
        <x:v>164</x:v>
      </x:c>
      <x:c r="B16" s="5" t="s">
        <x:v>165</x:v>
      </x:c>
      <x:c r="C16" s="5" t="s">
        <x:v>166</x:v>
      </x:c>
      <x:c r="D16" s="5" t="s">
        <x:v>154</x:v>
      </x:c>
      <x:c r="E16" s="5" t="s">
        <x:v>146</x:v>
      </x:c>
      <x:c r="F16" s="5">
        <x:v>200</x:v>
      </x:c>
      <x:c r="G16" s="5" t="s">
        <x:v>126</x:v>
      </x:c>
      <x:c r="H16" s="5" t="s">
        <x:v>167</x:v>
      </x:c>
    </x:row>
    <x:row r="17" ht="72" customHeight="1">
      <x:c r="A17" s="5" t="s">
        <x:v>168</x:v>
      </x:c>
      <x:c r="B17" s="5" t="s">
        <x:v>169</x:v>
      </x:c>
      <x:c r="C17" s="5" t="s">
        <x:v>170</x:v>
      </x:c>
      <x:c r="D17" s="5" t="s">
        <x:v>134</x:v>
      </x:c>
      <x:c r="E17" s="5" t="s">
        <x:v>162</x:v>
      </x:c>
      <x:c r="F17" s="5">
        <x:v>200</x:v>
      </x:c>
      <x:c r="G17" s="5" t="s">
        <x:v>126</x:v>
      </x:c>
      <x:c r="H17" s="5" t="s">
        <x:v>171</x:v>
      </x:c>
      <x:c r="J17" t="s">
        <x:v>172</x:v>
      </x:c>
    </x:row>
    <x:row r="18" ht="72" customHeight="1">
      <x:c r="A18" s="5" t="s">
        <x:v>173</x:v>
      </x:c>
      <x:c r="B18" s="5" t="s">
        <x:v>174</x:v>
      </x:c>
      <x:c r="C18" s="5" t="s">
        <x:v>175</x:v>
      </x:c>
      <x:c r="D18" s="5" t="s">
        <x:v>120</x:v>
      </x:c>
      <x:c r="E18" s="5" t="s">
        <x:v>176</x:v>
      </x:c>
      <x:c r="F18" s="5">
        <x:v>200</x:v>
      </x:c>
      <x:c r="G18" s="5" t="s">
        <x:v>121</x:v>
      </x:c>
      <x:c r="H18" s="5" t="s">
        <x:v>177</x:v>
      </x:c>
    </x:row>
  </x:sheetData>
  <x:mergeCells>
    <x:mergeCell ref="A1:H1"/>
    <x:mergeCell ref="A2:H2"/>
  </x:mergeCells>
  <x:pageMargins left="0.7" right="0.7" top="0.75" bottom="0.75" header="0.3" footer="0.3"/>
  <x:tableParts count="1">
    <x:tablePart xmlns:r="http://schemas.openxmlformats.org/officeDocument/2006/relationships" r:id="R74c3d434b098435a"/>
  </x:tableParts>
</x:worksheet>
</file>