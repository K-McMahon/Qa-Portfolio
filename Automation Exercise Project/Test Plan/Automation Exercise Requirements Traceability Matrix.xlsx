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Plan\"/>
    </mc:Choice>
  </mc:AlternateContent>
  <xr:revisionPtr revIDLastSave="0" documentId="13_ncr:1_{87DDFB38-743B-497B-8492-E6442DAD1736}" xr6:coauthVersionLast="47" xr6:coauthVersionMax="47" xr10:uidLastSave="{00000000-0000-0000-0000-000000000000}"/>
  <bookViews>
    <workbookView xWindow="6510" yWindow="3730" windowWidth="28800" windowHeight="15370" activeTab="1" xr2:uid="{00000000-000D-0000-FFFF-FFFF00000000}"/>
  </bookViews>
  <sheets>
    <sheet name="Overview" sheetId="1" r:id="rId1"/>
    <sheet name="RTM" sheetId="2" r:id="rId2"/>
    <sheet name="Source Scenarios" sheetId="3" r:id="rId3"/>
    <sheet name="Source API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B17" i="1"/>
  <c r="C16" i="1"/>
  <c r="B16" i="1"/>
  <c r="C15" i="1"/>
  <c r="B15" i="1"/>
  <c r="E11" i="1"/>
  <c r="D11" i="1"/>
  <c r="C11" i="1"/>
  <c r="B11" i="1"/>
  <c r="E10" i="1"/>
  <c r="D10" i="1"/>
  <c r="C10" i="1"/>
  <c r="B10" i="1"/>
  <c r="E9" i="1"/>
  <c r="D9" i="1"/>
  <c r="C9" i="1"/>
  <c r="B9" i="1"/>
  <c r="M5" i="1"/>
  <c r="I5" i="1"/>
  <c r="E5" i="1"/>
  <c r="A5" i="1"/>
</calcChain>
</file>

<file path=xl/sharedStrings.xml><?xml version="1.0" encoding="utf-8"?>
<sst xmlns="http://schemas.openxmlformats.org/spreadsheetml/2006/main" count="744" uniqueCount="432">
  <si>
    <t>Automation Exercise | Requirements Traceability Matrix</t>
  </si>
  <si>
    <t>Total Requirements</t>
  </si>
  <si>
    <t>Fully Covered</t>
  </si>
  <si>
    <t>Partially Covered</t>
  </si>
  <si>
    <t>Not Covered</t>
  </si>
  <si>
    <t>Execution Status</t>
  </si>
  <si>
    <t>Count</t>
  </si>
  <si>
    <t>Defect-Linked</t>
  </si>
  <si>
    <t>Notes</t>
  </si>
  <si>
    <t>Pass</t>
  </si>
  <si>
    <t>Mapped requirements whose linked tests passed</t>
  </si>
  <si>
    <t>Fail</t>
  </si>
  <si>
    <t>Mapped requirements whose linked tests failed</t>
  </si>
  <si>
    <t>Not Run</t>
  </si>
  <si>
    <t>Requirements without executed coverage</t>
  </si>
  <si>
    <t>Coverage Assessment</t>
  </si>
  <si>
    <t>Requirements Traceability Matrix</t>
  </si>
  <si>
    <t>Coverage is synchronized with the 17-case test repository and four-defect log. Source scenario wording and exact steps are preserved on the Source Scenarios worksheet.</t>
  </si>
  <si>
    <t>Coverage rule: Fully Covered means every material behavior in the requirement is mapped to one or more existing test cases. Partially Covered means some, but not all material behavior is mapped. Not Covered means no existing case verifies the requirement.</t>
  </si>
  <si>
    <t>Requirement ID</t>
  </si>
  <si>
    <t>Requirement Source</t>
  </si>
  <si>
    <t>Source Scenario ID</t>
  </si>
  <si>
    <t>Feature</t>
  </si>
  <si>
    <t>Requirement / Scenario</t>
  </si>
  <si>
    <t>Mapped Test Case ID(s)</t>
  </si>
  <si>
    <t>Coverage Status</t>
  </si>
  <si>
    <t>Coverage Rationale</t>
  </si>
  <si>
    <t>Test Type</t>
  </si>
  <si>
    <t>Priority</t>
  </si>
  <si>
    <t>Defect ID(s)</t>
  </si>
  <si>
    <t>Gap / Recommended Action</t>
  </si>
  <si>
    <t>REQ-AUTH-001</t>
  </si>
  <si>
    <t>Site Scenario</t>
  </si>
  <si>
    <t>SRC-TC-01</t>
  </si>
  <si>
    <t>Registration</t>
  </si>
  <si>
    <t>Register User</t>
  </si>
  <si>
    <t>AE-SIGNUP-001
AE-SIGNUP-002
AE-ACCOUNT-001</t>
  </si>
  <si>
    <t>Registration and deletion are covered, but the complete continuous workflow and optional newsletter/partner selections are not documented.</t>
  </si>
  <si>
    <t>Functional — Positive</t>
  </si>
  <si>
    <t>Critical</t>
  </si>
  <si>
    <t>Add an end-to-end registration case or explicitly document why the workflow is decomposed. Verify newsletter and partner selections if they are in scope.</t>
  </si>
  <si>
    <t>REQ-AUTH-002</t>
  </si>
  <si>
    <t>SRC-TC-02</t>
  </si>
  <si>
    <t>Login / Account</t>
  </si>
  <si>
    <t>Login User with correct email and password</t>
  </si>
  <si>
    <t>AE-LOGIN-001
AE-ACCOUNT-001</t>
  </si>
  <si>
    <t>Valid login, username confirmation, and account deletion are covered across two focused test cases.</t>
  </si>
  <si>
    <t>No immediate gap. Maintain cross-reference between the two focused cases.</t>
  </si>
  <si>
    <t>REQ-AUTH-003</t>
  </si>
  <si>
    <t>SRC-TC-03</t>
  </si>
  <si>
    <t>Login</t>
  </si>
  <si>
    <t>Login User with incorrect email and password</t>
  </si>
  <si>
    <t>AE-LOGIN-003
AE-LOGIN-004</t>
  </si>
  <si>
    <t>Incorrect-password handling is covered by AE-LOGIN-003, and rejection of an unregistered email address is covered by AE-LOGIN-004.</t>
  </si>
  <si>
    <t>Functional — Negative</t>
  </si>
  <si>
    <t>High</t>
  </si>
  <si>
    <t>No immediate coverage gap. Retain both cases so invalid-password and unregistered-email behavior remain independently traceable.</t>
  </si>
  <si>
    <t>REQ-AUTH-004</t>
  </si>
  <si>
    <t>SRC-TC-04</t>
  </si>
  <si>
    <t>Logout</t>
  </si>
  <si>
    <t>Logout User</t>
  </si>
  <si>
    <t>AE-LOGOUT-001</t>
  </si>
  <si>
    <t>The source logout flow and additional browser-back session behavior were executed.</t>
  </si>
  <si>
    <t>AE-BUG-001
AE-BUG-002</t>
  </si>
  <si>
    <t>Retest after defects are corrected. Keep the additional browser-back check as enhanced coverage.</t>
  </si>
  <si>
    <t>REQ-AUTH-005</t>
  </si>
  <si>
    <t>SRC-TC-05</t>
  </si>
  <si>
    <t>Register User with existing email</t>
  </si>
  <si>
    <t>AE-SIGNUP-005</t>
  </si>
  <si>
    <t>Registration with an already registered email address was executed successfully and the expected duplicate-email error was displayed.</t>
  </si>
  <si>
    <t>No immediate gap. Continue using a dedicated QA account and sanitized evidence.</t>
  </si>
  <si>
    <t>REQ-CONTACT-001</t>
  </si>
  <si>
    <t>SRC-TC-06</t>
  </si>
  <si>
    <t>Contact</t>
  </si>
  <si>
    <t>Contact Us Form</t>
  </si>
  <si>
    <t>No contact-form test exists.</t>
  </si>
  <si>
    <t>Medium</t>
  </si>
  <si>
    <t>Create a contact-form case covering file upload, confirmation dialog, success message, and return to Home.</t>
  </si>
  <si>
    <t>REQ-NAV-001</t>
  </si>
  <si>
    <t>SRC-TC-07</t>
  </si>
  <si>
    <t>Navigation</t>
  </si>
  <si>
    <t>Verify Test Cases Page</t>
  </si>
  <si>
    <t>No navigation test covers the Test Cases page.</t>
  </si>
  <si>
    <t>Low</t>
  </si>
  <si>
    <t>Create a navigation case for the Test Cases page.</t>
  </si>
  <si>
    <t>REQ-PRODUCT-001</t>
  </si>
  <si>
    <t>SRC-TC-08</t>
  </si>
  <si>
    <t>Products</t>
  </si>
  <si>
    <t>Verify All Products and product detail page</t>
  </si>
  <si>
    <t>AE-PRODUCT-001</t>
  </si>
  <si>
    <t>The All Products page, complete product list, product-detail navigation, and required product attributes were verified successfully.</t>
  </si>
  <si>
    <t>No immediate gap. Preserve evidence showing both the product list and product-detail information.</t>
  </si>
  <si>
    <t>REQ-PRODUCT-002</t>
  </si>
  <si>
    <t>SRC-TC-09</t>
  </si>
  <si>
    <t>Search Product</t>
  </si>
  <si>
    <t>AE-PRODUCT-002</t>
  </si>
  <si>
    <t>Product search was executed successfully and the returned products were verified as relevant to the selected search term.</t>
  </si>
  <si>
    <t>No immediate gap. Record the exact search term with each future execution.</t>
  </si>
  <si>
    <t>REQ-SUB-001</t>
  </si>
  <si>
    <t>SRC-TC-10</t>
  </si>
  <si>
    <t>Subscription</t>
  </si>
  <si>
    <t>Verify Subscription in home page</t>
  </si>
  <si>
    <t>No homepage subscription test exists.</t>
  </si>
  <si>
    <t>Create homepage subscription coverage.</t>
  </si>
  <si>
    <t>REQ-SUB-002</t>
  </si>
  <si>
    <t>SRC-TC-11</t>
  </si>
  <si>
    <t>Verify Subscription in Cart page</t>
  </si>
  <si>
    <t>No cart-page subscription test exists.</t>
  </si>
  <si>
    <t>Create cart-page subscription coverage.</t>
  </si>
  <si>
    <t>REQ-CART-001</t>
  </si>
  <si>
    <t>SRC-TC-12</t>
  </si>
  <si>
    <t>Cart</t>
  </si>
  <si>
    <t>Add Products in Cart</t>
  </si>
  <si>
    <t>AE-CART-001</t>
  </si>
  <si>
    <t>Two products, their unit prices, default quantities, and line totals were verified. The case failed because the overall cart total was not displayed.</t>
  </si>
  <si>
    <t>AE-BUG-003</t>
  </si>
  <si>
    <t>Retest AE-CART-001 after AE-BUG-003 is corrected and confirm the overall total equals the sum of all line totals.</t>
  </si>
  <si>
    <t>REQ-CART-002</t>
  </si>
  <si>
    <t>SRC-TC-13</t>
  </si>
  <si>
    <t>Verify Product quantity in Cart</t>
  </si>
  <si>
    <t>AE-CART-002</t>
  </si>
  <si>
    <t>Quantity-selection behavior was executed. The case failed because the quantity field could not be edited to the required value of 4.</t>
  </si>
  <si>
    <t>AE-BUG-004</t>
  </si>
  <si>
    <t>Retest AE-CART-002 after AE-BUG-004 is corrected and verify both the selected quantity and calculated line total.</t>
  </si>
  <si>
    <t>REQ-ORDER-001</t>
  </si>
  <si>
    <t>SRC-TC-14</t>
  </si>
  <si>
    <t>Checkout</t>
  </si>
  <si>
    <t>Place Order: Register while Checkout</t>
  </si>
  <si>
    <t>No checkout registration-during-order workflow exists.</t>
  </si>
  <si>
    <t>End-to-End — Positive</t>
  </si>
  <si>
    <t>Create an end-to-end checkout case for registration during checkout.</t>
  </si>
  <si>
    <t>REQ-ORDER-002</t>
  </si>
  <si>
    <t>SRC-TC-15</t>
  </si>
  <si>
    <t>Place Order: Register before Checkout</t>
  </si>
  <si>
    <t>No register-before-checkout workflow exists.</t>
  </si>
  <si>
    <t>Create an end-to-end checkout case for registration before checkout.</t>
  </si>
  <si>
    <t>REQ-ORDER-003</t>
  </si>
  <si>
    <t>SRC-TC-16</t>
  </si>
  <si>
    <t>Place Order: Login before Checkout</t>
  </si>
  <si>
    <t>No login-before-checkout workflow exists.</t>
  </si>
  <si>
    <t>Create an end-to-end checkout case for login before checkout.</t>
  </si>
  <si>
    <t>REQ-CART-003</t>
  </si>
  <si>
    <t>SRC-TC-17</t>
  </si>
  <si>
    <t>Remove Products From Cart</t>
  </si>
  <si>
    <t>AE-CART-003</t>
  </si>
  <si>
    <t>A product was added to the cart, removed using the remove control, and verified as no longer displayed or included in cart totals.</t>
  </si>
  <si>
    <t>No immediate gap. Retain before-and-after cart evidence for future executions.</t>
  </si>
  <si>
    <t>REQ-CATALOG-001</t>
  </si>
  <si>
    <t>SRC-TC-18</t>
  </si>
  <si>
    <t>Catalog</t>
  </si>
  <si>
    <t>View Category Products</t>
  </si>
  <si>
    <t>No category-navigation test exists.</t>
  </si>
  <si>
    <t>Create category and subcategory navigation coverage.</t>
  </si>
  <si>
    <t>REQ-CATALOG-002</t>
  </si>
  <si>
    <t>SRC-TC-19</t>
  </si>
  <si>
    <t>View &amp; Cart Brand Products</t>
  </si>
  <si>
    <t>No brand-navigation test exists.</t>
  </si>
  <si>
    <t>Create brand-list and brand-switching coverage.</t>
  </si>
  <si>
    <t>REQ-CART-004</t>
  </si>
  <si>
    <t>SRC-TC-20</t>
  </si>
  <si>
    <t>Search / Cart</t>
  </si>
  <si>
    <t>Search Products and Verify Cart After Login</t>
  </si>
  <si>
    <t>No cart-persistence-after-login workflow exists.</t>
  </si>
  <si>
    <t>Create search, cart, login, and cart-persistence coverage.</t>
  </si>
  <si>
    <t>REQ-REVIEW-001</t>
  </si>
  <si>
    <t>SRC-TC-21</t>
  </si>
  <si>
    <t>Product Review</t>
  </si>
  <si>
    <t>Add review on product</t>
  </si>
  <si>
    <t>No product-review test exists.</t>
  </si>
  <si>
    <t>Create product-review submission coverage.</t>
  </si>
  <si>
    <t>REQ-CART-005</t>
  </si>
  <si>
    <t>SRC-TC-22</t>
  </si>
  <si>
    <t>Recommended Items</t>
  </si>
  <si>
    <t>Add to cart from Recommended items</t>
  </si>
  <si>
    <t>No recommended-item cart test exists.</t>
  </si>
  <si>
    <t>Create recommended-item cart coverage.</t>
  </si>
  <si>
    <t>REQ-ORDER-004</t>
  </si>
  <si>
    <t>SRC-TC-23</t>
  </si>
  <si>
    <t>Verify address details in checkout page</t>
  </si>
  <si>
    <t>No billing/delivery address verification exists.</t>
  </si>
  <si>
    <t>Create checkout-address verification coverage.</t>
  </si>
  <si>
    <t>REQ-ORDER-005</t>
  </si>
  <si>
    <t>SRC-TC-24</t>
  </si>
  <si>
    <t>Checkout / Invoice</t>
  </si>
  <si>
    <t>Download Invoice after purchase order</t>
  </si>
  <si>
    <t>No invoice-download test exists.</t>
  </si>
  <si>
    <t>Create purchase and invoice-download coverage.</t>
  </si>
  <si>
    <t>REQ-NAV-002</t>
  </si>
  <si>
    <t>SRC-TC-25</t>
  </si>
  <si>
    <t>Verify Scroll Up using 'Arrow' button and Scroll Down functionality</t>
  </si>
  <si>
    <t>No arrow-assisted scrolling test exists.</t>
  </si>
  <si>
    <t>Create scroll-down and arrow-assisted scroll-up coverage.</t>
  </si>
  <si>
    <t>REQ-NAV-003</t>
  </si>
  <si>
    <t>SRC-TC-26</t>
  </si>
  <si>
    <t>Verify Scroll Up without 'Arrow' button and Scroll Down functionality</t>
  </si>
  <si>
    <t>No manual scroll-up test exists.</t>
  </si>
  <si>
    <t>Create manual scroll-down and scroll-up coverage.</t>
  </si>
  <si>
    <t>REQ-EXT-001</t>
  </si>
  <si>
    <t>Tester-Derived</t>
  </si>
  <si>
    <t>CUSTOM-01</t>
  </si>
  <si>
    <t>Reject invalid email format during registration</t>
  </si>
  <si>
    <t>AE-SIGNUP-003</t>
  </si>
  <si>
    <t>Tester-derived negative validation coverage was executed successfully.</t>
  </si>
  <si>
    <t>Retain as enhanced coverage beyond the published scenarios.</t>
  </si>
  <si>
    <t>REQ-EXT-002</t>
  </si>
  <si>
    <t>CUSTOM-02</t>
  </si>
  <si>
    <t>Prevent account creation when required fields are blank</t>
  </si>
  <si>
    <t>AE-SIGNUP-004</t>
  </si>
  <si>
    <t>Tester-derived required-field validation was executed successfully.</t>
  </si>
  <si>
    <t>Consider splitting each required field into an independently traceable case.</t>
  </si>
  <si>
    <t>REQ-EXT-003</t>
  </si>
  <si>
    <t>CUSTOM-03</t>
  </si>
  <si>
    <t>Login Security</t>
  </si>
  <si>
    <t>Reject SQL injection input without authenticating the user</t>
  </si>
  <si>
    <t>AE-LOGIN-002</t>
  </si>
  <si>
    <t>Tester-derived security-focused input validation was executed successfully.</t>
  </si>
  <si>
    <t>Security — Negative</t>
  </si>
  <si>
    <t>Retain as authorized security coverage; do not use destructive payloads.</t>
  </si>
  <si>
    <t>REQ-EXT-004</t>
  </si>
  <si>
    <t>CUSTOM-04</t>
  </si>
  <si>
    <t>Account Management</t>
  </si>
  <si>
    <t>Preserve an active account across logout and a new browser tab</t>
  </si>
  <si>
    <t>AE-ACCOUNT-002</t>
  </si>
  <si>
    <t>Tester-derived account-persistence coverage was executed successfully.</t>
  </si>
  <si>
    <t>Retain as enhanced account-lifecycle coverage.</t>
  </si>
  <si>
    <t>Authoritative Source Scenarios</t>
  </si>
  <si>
    <t>Exact scenario titles and step sequences transcribed from the Automation Exercise website</t>
  </si>
  <si>
    <t>Exact Scenario Title</t>
  </si>
  <si>
    <t>Step Count</t>
  </si>
  <si>
    <t>Exact Source Steps</t>
  </si>
  <si>
    <t>Test Case 1: Register User</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</si>
  <si>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t>
  </si>
  <si>
    <t>Test Case 2: Login User with correct email and password</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</si>
  <si>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t>
  </si>
  <si>
    <t>Test Case 3: Login User with incorrect email and password</t>
  </si>
  <si>
    <t>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t>
  </si>
  <si>
    <t>Test Case 4: Logout User</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</si>
  <si>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t>
  </si>
  <si>
    <t>Test Case 5: Register User with existing email</t>
  </si>
  <si>
    <t>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t>
  </si>
  <si>
    <t>Test Case 6: Contact Us Form</t>
  </si>
  <si>
    <t>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t>
  </si>
  <si>
    <t>Test Case 7: Verify Test Cases Page</t>
  </si>
  <si>
    <t>1. Launch browser
2. Navigate to url 'http://automationexercise.com'
3. Verify that home page is visible successfully
4. Click on 'Test Cases' button
5. Verify user is navigated to test cases page successfully</t>
  </si>
  <si>
    <t>Test Case 8: Verify All Products and product detail page</t>
  </si>
  <si>
    <t>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t>
  </si>
  <si>
    <t>Test Case 9: Search Product</t>
  </si>
  <si>
    <t>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t>
  </si>
  <si>
    <t>Test Case 10: Verify Subscription in home page</t>
  </si>
  <si>
    <t>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t>
  </si>
  <si>
    <t>Test Case 11: Verify Subscription in Cart page</t>
  </si>
  <si>
    <t>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t>
  </si>
  <si>
    <t>Test Case 12: Add Products in Cart</t>
  </si>
  <si>
    <t>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t>
  </si>
  <si>
    <t>Test Case 13: Verify Product quantity in Cart</t>
  </si>
  <si>
    <t>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t>
  </si>
  <si>
    <t>Test Case 14: Place Order: Register while Checkout</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</si>
  <si>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t>
  </si>
  <si>
    <t>Test Case 15: Place Order: Register before Checkout</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</si>
  <si>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t>
  </si>
  <si>
    <t>Test Case 16: Place Order: Login before Checkout</t>
  </si>
  <si>
    <t>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t>
  </si>
  <si>
    <t>Test Case 17: Remove Products From Cart</t>
  </si>
  <si>
    <t>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t>
  </si>
  <si>
    <t>Test Case 18: View Category Products</t>
  </si>
  <si>
    <t>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t>
  </si>
  <si>
    <t>Test Case 19: View &amp; Cart Brand Products</t>
  </si>
  <si>
    <t>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t>
  </si>
  <si>
    <t>Test Case 20: Search Products and Verify Cart After Login</t>
  </si>
  <si>
    <t>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t>
  </si>
  <si>
    <t>Test Case 21: Add review on product</t>
  </si>
  <si>
    <t>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t>
  </si>
  <si>
    <t>Test Case 22: Add to cart from Recommended items</t>
  </si>
  <si>
    <t>1. Launch browser
2. Navigate to url 'http://automationexercise.com'
3. Scroll to bottom of page
4. Verify 'RECOMMENDED ITEMS' are visible
5. Click on 'Add To Cart' on Recommended product
6. Click on 'View Cart' button
7. Verify that product is displayed in cart page</t>
  </si>
  <si>
    <t>Test Case 23: Verify address details in checkout page</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</si>
  <si>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t>
  </si>
  <si>
    <t>Test Case 24: Download Invoice after purchase order</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</si>
  <si>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t>
  </si>
  <si>
    <t>Test Case 25: Verify Scroll Up using 'Arrow' button and Scroll Down functionality.</t>
  </si>
  <si>
    <t>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t>
  </si>
  <si>
    <t>Test Case 26: Verify Scroll Up without 'Arrow' button and Scroll Down functionality.</t>
  </si>
  <si>
    <t>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t>
  </si>
  <si>
    <t>Cross-reference of 26 official UI scenarios, 14 official API scenarios, and 4 tester-derived requirements against the current 17 executed manual UI test cases</t>
  </si>
  <si>
    <t>UI Scenarios</t>
  </si>
  <si>
    <t>API Scenarios</t>
  </si>
  <si>
    <t>Current strength: registration, login, account lifecycle, product discovery, and foundational cart behavior are covered by 17 executed UI test cases.
API scope added: all 14 official Automation Exercise API scenarios are now documented as traceable requirements and preserved verbatim on the Source APIs worksheet.
Current API gap: no Postman API cases have been executed yet, so all 14 API requirements remain Not Covered.
Recommended next action: execute API-PRODUCT-001, API-BRAND-001, API-SEARCH-001, and API-SEARCH-002 in Postman; record both the HTTP status and any responseCode returned inside the JSON; then map the results back to this RTM.</t>
  </si>
  <si>
    <t>REQ-API-001</t>
  </si>
  <si>
    <t>Site API Scenario</t>
  </si>
  <si>
    <t>SRC-API-01</t>
  </si>
  <si>
    <t>Product API</t>
  </si>
  <si>
    <t>Get All Products List</t>
  </si>
  <si>
    <t>API — Positive</t>
  </si>
  <si>
    <t>Create API-PRODUCT-001 and verify the product-list response.</t>
  </si>
  <si>
    <t>REQ-API-002</t>
  </si>
  <si>
    <t>SRC-API-02</t>
  </si>
  <si>
    <t>POST To All Products List</t>
  </si>
  <si>
    <t>Unsupported-method handling has not been tested.</t>
  </si>
  <si>
    <t>API — Negative</t>
  </si>
  <si>
    <t>Create API-PRODUCT-002 and verify the 405 response behavior.</t>
  </si>
  <si>
    <t>REQ-API-003</t>
  </si>
  <si>
    <t>SRC-API-03</t>
  </si>
  <si>
    <t>Brand API</t>
  </si>
  <si>
    <t>Get All Brands List</t>
  </si>
  <si>
    <t>Create API-BRAND-001 and verify the brand-list response.</t>
  </si>
  <si>
    <t>REQ-API-004</t>
  </si>
  <si>
    <t>SRC-API-04</t>
  </si>
  <si>
    <t>PUT To All Brands List</t>
  </si>
  <si>
    <t>Create API-BRAND-002 and verify the 405 response behavior.</t>
  </si>
  <si>
    <t>REQ-API-005</t>
  </si>
  <si>
    <t>SRC-API-05</t>
  </si>
  <si>
    <t>Search API</t>
  </si>
  <si>
    <t>POST To Search Product</t>
  </si>
  <si>
    <t>Valid product-search API behavior has not been tested.</t>
  </si>
  <si>
    <t>Create API-SEARCH-001 using a valid search_product parameter.</t>
  </si>
  <si>
    <t>REQ-API-006</t>
  </si>
  <si>
    <t>SRC-API-06</t>
  </si>
  <si>
    <t>REQ-API-007</t>
  </si>
  <si>
    <t>SRC-API-07</t>
  </si>
  <si>
    <t>Authentication API</t>
  </si>
  <si>
    <t>POST To Verify Login with valid details</t>
  </si>
  <si>
    <t>Valid API login verification has not been tested.</t>
  </si>
  <si>
    <t>Create API-AUTH-001 using valid test credentials.</t>
  </si>
  <si>
    <t>REQ-API-008</t>
  </si>
  <si>
    <t>SRC-API-08</t>
  </si>
  <si>
    <t>POST To Verify Login without email parameter</t>
  </si>
  <si>
    <t>Missing-email validation for API login has not been tested.</t>
  </si>
  <si>
    <t>Create API-AUTH-002 with only the password parameter.</t>
  </si>
  <si>
    <t>REQ-API-009</t>
  </si>
  <si>
    <t>SRC-API-09</t>
  </si>
  <si>
    <t>DELETE To Verify Login</t>
  </si>
  <si>
    <t>Create API-AUTH-003 and verify the 405 response behavior.</t>
  </si>
  <si>
    <t>REQ-API-010</t>
  </si>
  <si>
    <t>SRC-API-10</t>
  </si>
  <si>
    <t>POST To Verify Login with invalid details</t>
  </si>
  <si>
    <t>Invalid API login behavior has not been tested.</t>
  </si>
  <si>
    <t>Create API-AUTH-004 using invalid test credentials.</t>
  </si>
  <si>
    <t>REQ-API-011</t>
  </si>
  <si>
    <t>SRC-API-11</t>
  </si>
  <si>
    <t>Account API</t>
  </si>
  <si>
    <t>POST To Create/Register User Account</t>
  </si>
  <si>
    <t>API account creation has not been tested.</t>
  </si>
  <si>
    <t>Create API-ACCOUNT-001 using a disposable test account.</t>
  </si>
  <si>
    <t>REQ-API-012</t>
  </si>
  <si>
    <t>SRC-API-12</t>
  </si>
  <si>
    <t>DELETE METHOD To Delete User Account</t>
  </si>
  <si>
    <t>API account deletion has not been tested.</t>
  </si>
  <si>
    <t>Create API-ACCOUNT-002 and delete only a disposable test account.</t>
  </si>
  <si>
    <t>REQ-API-013</t>
  </si>
  <si>
    <t>SRC-API-13</t>
  </si>
  <si>
    <t>PUT METHOD To Update User Account</t>
  </si>
  <si>
    <t>API account updates have not been tested.</t>
  </si>
  <si>
    <t>Create API-ACCOUNT-003 and verify the updated account values.</t>
  </si>
  <si>
    <t>REQ-API-014</t>
  </si>
  <si>
    <t>SRC-API-14</t>
  </si>
  <si>
    <t>GET user account detail by email</t>
  </si>
  <si>
    <t>API account-detail retrieval has not been tested.</t>
  </si>
  <si>
    <t>Create API-ACCOUNT-004 using a dedicated QA account email.</t>
  </si>
  <si>
    <t>Automation Exercise — Official API Source Scenarios</t>
  </si>
  <si>
    <t>Source API ID</t>
  </si>
  <si>
    <t>API URL</t>
  </si>
  <si>
    <t>Request Method</t>
  </si>
  <si>
    <t>Exact Request Parameter(s)</t>
  </si>
  <si>
    <t>Response Code</t>
  </si>
  <si>
    <t>Response Type</t>
  </si>
  <si>
    <t>Exact Expected Response</t>
  </si>
  <si>
    <t>API 1: Get All Products List</t>
  </si>
  <si>
    <t>https://automationexercise.com/api/productsList</t>
  </si>
  <si>
    <t>GET</t>
  </si>
  <si>
    <t>Response JSON</t>
  </si>
  <si>
    <t>All products list</t>
  </si>
  <si>
    <t>API 2: POST To All Products List</t>
  </si>
  <si>
    <t>POST</t>
  </si>
  <si>
    <t>Response Message</t>
  </si>
  <si>
    <t>This request method is not supported.</t>
  </si>
  <si>
    <t>API 3: Get All Brands List</t>
  </si>
  <si>
    <t>https://automationexercise.com/api/brandsList</t>
  </si>
  <si>
    <t>All brands list</t>
  </si>
  <si>
    <t>API 4: PUT To All Brands List</t>
  </si>
  <si>
    <t>PUT</t>
  </si>
  <si>
    <t>API 5: POST To Search Product</t>
  </si>
  <si>
    <t>https://automationexercise.com/api/searchProduct</t>
  </si>
  <si>
    <t>search_product (For example: top, tshirt, jean)</t>
  </si>
  <si>
    <t>Searched products list</t>
  </si>
  <si>
    <t>API 6: POST To Search Product without search_product parameter</t>
  </si>
  <si>
    <t>Bad request, search_product parameter is missing in POST request.</t>
  </si>
  <si>
    <t>API 7: POST To Verify Login with valid details</t>
  </si>
  <si>
    <t>https://automationexercise.com/api/verifyLogin</t>
  </si>
  <si>
    <t>email, password</t>
  </si>
  <si>
    <t>User exists!</t>
  </si>
  <si>
    <t>API 8: POST To Verify Login without email parameter</t>
  </si>
  <si>
    <t>password</t>
  </si>
  <si>
    <t>Bad request, email or password parameter is missing in POST request.</t>
  </si>
  <si>
    <t>API 9: DELETE To Verify Login</t>
  </si>
  <si>
    <t>DELETE</t>
  </si>
  <si>
    <t>API 10: POST To Verify Login with invalid details</t>
  </si>
  <si>
    <t>email, password (invalid values)</t>
  </si>
  <si>
    <t>User not found!</t>
  </si>
  <si>
    <t>API 11: POST To Create/Register User Account</t>
  </si>
  <si>
    <t>https://automationexercise.com/api/createAccount</t>
  </si>
  <si>
    <t>name, email, password, title (for example: Mr, Mrs, Miss), birth_date, birth_month, birth_year, firstname, lastname, company, address1, address2, country, zipcode, state, city, mobile_number</t>
  </si>
  <si>
    <t>User created!</t>
  </si>
  <si>
    <t>API 12: DELETE METHOD To Delete User Account</t>
  </si>
  <si>
    <t>https://automationexercise.com/api/deleteAccount</t>
  </si>
  <si>
    <t>Account deleted!</t>
  </si>
  <si>
    <t>API 13: PUT METHOD To Update User Account</t>
  </si>
  <si>
    <t>https://automationexercise.com/api/updateAccount</t>
  </si>
  <si>
    <t>User updated!</t>
  </si>
  <si>
    <t>API 14: GET user account detail by email</t>
  </si>
  <si>
    <t>https://automationexercise.com/api/getUserDetailByEmail</t>
  </si>
  <si>
    <t>email</t>
  </si>
  <si>
    <t>User Detail</t>
  </si>
  <si>
    <t>POST To Search Product without search_product 
parameter</t>
  </si>
  <si>
    <t>Unsupported DELETE handling for login verification 
has not been tested.</t>
  </si>
  <si>
    <t>Missing-parameter validation for product search has not
 been tested.</t>
  </si>
  <si>
    <t>Official API scenario is documented, but no portfolio API
 test has been executed.</t>
  </si>
  <si>
    <t>Create API-SEARCH-002 without the required search_product 
parameter.</t>
  </si>
  <si>
    <t>Exact scenario details transcribed from Automation Exercise Web Application</t>
  </si>
  <si>
    <t xml:space="preserve"> </t>
  </si>
  <si>
    <t>API-PRODUCT-001</t>
  </si>
  <si>
    <t>API-BRAND-001</t>
  </si>
  <si>
    <t>API-SEARCH-001</t>
  </si>
  <si>
    <t>API-SEARCH-002</t>
  </si>
  <si>
    <t>API-AUTH-001</t>
  </si>
  <si>
    <t>API-AUTH-002</t>
  </si>
  <si>
    <t>API-PRODUCT-002</t>
  </si>
  <si>
    <t>API-BRAND-002</t>
  </si>
  <si>
    <t>API-AUTH-004</t>
  </si>
  <si>
    <t>API-AUTH-003</t>
  </si>
  <si>
    <t>API-ACCOUNT-001</t>
  </si>
  <si>
    <t>API-ACCOUNT-002</t>
  </si>
  <si>
    <t>API-ACCOUNT-003</t>
  </si>
  <si>
    <t>API-ACCOUNT-004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</si>
</sst>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rlito"/>
    </font>
    <font>
      <b/>
      <sz val="18"/>
      <color rgb="FFFFFFFF"/>
      <name val="Carlito"/>
    </font>
    <font>
      <i/>
      <sz val="10"/>
      <color rgb="FF1F2937"/>
      <name val="Carlito"/>
    </font>
    <font>
      <b/>
      <sz val="10"/>
      <color rgb="FFFFFFFF"/>
      <name val="Carlito"/>
    </font>
    <font>
      <b/>
      <sz val="22"/>
      <color rgb="FF17365D"/>
      <name val="Carlito"/>
    </font>
    <font>
      <sz val="10"/>
      <color rgb="FF1F2937"/>
      <name val="Carlito"/>
    </font>
    <font>
      <b/>
      <sz val="12"/>
      <color rgb="FFFFFFFF"/>
      <name val="Carlito"/>
    </font>
    <font>
      <sz val="11"/>
      <color rgb="FF1F2937"/>
      <name val="Carlito"/>
    </font>
    <font>
      <i/>
      <sz val="10"/>
      <color rgb="FF7F6000"/>
      <name val="Carlito"/>
    </font>
    <font>
      <sz val="11"/>
      <color theme="10"/>
      <name val="Carlito"/>
    </font>
    <font>
      <sz val="10"/>
      <name val="Carlito"/>
    </font>
    <font>
      <sz val="8"/>
      <name val="Carlito"/>
    </font>
  </fonts>
  <fills count="11">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
      <patternFill patternType="solid">
        <fgColor rgb="FF2F75B5"/>
      </patternFill>
    </fill>
    <fill>
      <patternFill patternType="solid">
        <fgColor rgb="FF17365D"/>
      </patternFill>
    </fill>
    <fill>
      <patternFill patternType="solid">
        <fgColor rgb="FFD9EAF7"/>
      </patternFill>
    </fill>
  </fills>
  <borders count="24">
    <border>
      <left/>
      <right/>
      <top/>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9" fillId="0" borderId="0" applyNumberFormat="0" applyFill="0" applyBorder="0" applyAlignment="0" applyProtection="0"/>
  </cellStyleXfs>
  <cellXfs count="55">
    <xf numFmtId="0" fontId="0" fillId="0" borderId="0" xfId="0"/>
    <xf numFmtId="0" fontId="3" fillId="4" borderId="16"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5" fillId="0" borderId="19" xfId="0" applyFont="1" applyBorder="1" applyAlignment="1">
      <alignment horizontal="center" vertical="top" wrapText="1"/>
    </xf>
    <xf numFmtId="0" fontId="5" fillId="0" borderId="15" xfId="0" applyFont="1" applyBorder="1" applyAlignment="1">
      <alignment horizontal="center" vertical="top" wrapText="1"/>
    </xf>
    <xf numFmtId="0" fontId="9" fillId="0" borderId="15" xfId="1" applyBorder="1" applyAlignment="1">
      <alignment horizontal="center" vertical="top" wrapText="1"/>
    </xf>
    <xf numFmtId="0" fontId="5" fillId="0" borderId="15" xfId="0" applyFont="1" applyBorder="1" applyAlignment="1">
      <alignment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wrapText="1"/>
    </xf>
    <xf numFmtId="0" fontId="5" fillId="0" borderId="22" xfId="0" applyFont="1" applyBorder="1" applyAlignment="1">
      <alignment vertical="top" wrapText="1"/>
    </xf>
    <xf numFmtId="0" fontId="5" fillId="0" borderId="23" xfId="0" applyFont="1" applyBorder="1" applyAlignment="1">
      <alignment horizontal="center" vertical="top" wrapText="1"/>
    </xf>
    <xf numFmtId="0" fontId="9" fillId="0" borderId="22" xfId="1" applyBorder="1" applyAlignment="1">
      <alignment horizontal="center" vertical="top" wrapText="1"/>
    </xf>
    <xf numFmtId="0" fontId="5" fillId="0" borderId="20" xfId="0" applyFont="1" applyBorder="1" applyAlignment="1">
      <alignment vertical="top" wrapText="1"/>
    </xf>
    <xf numFmtId="0" fontId="5" fillId="0" borderId="23" xfId="0" applyFont="1" applyBorder="1" applyAlignment="1">
      <alignment vertical="top" wrapText="1"/>
    </xf>
    <xf numFmtId="0" fontId="3" fillId="8" borderId="0" xfId="0" applyFont="1" applyFill="1" applyAlignment="1">
      <alignment horizontal="center" vertical="center" wrapText="1"/>
    </xf>
    <xf numFmtId="0" fontId="3" fillId="8" borderId="15" xfId="0" applyFont="1" applyFill="1" applyBorder="1" applyAlignment="1">
      <alignment horizontal="center" vertical="center"/>
    </xf>
    <xf numFmtId="0" fontId="5" fillId="0" borderId="15" xfId="0" applyFont="1" applyBorder="1" applyAlignment="1">
      <alignment horizontal="center" vertical="center"/>
    </xf>
    <xf numFmtId="0" fontId="3" fillId="4" borderId="15" xfId="0" applyFont="1" applyFill="1" applyBorder="1" applyAlignment="1">
      <alignment horizontal="center" vertical="center" wrapText="1"/>
    </xf>
    <xf numFmtId="0" fontId="5" fillId="0" borderId="15" xfId="0" applyFont="1" applyBorder="1" applyAlignment="1">
      <alignment horizontal="center" vertical="center" wrapText="1"/>
    </xf>
    <xf numFmtId="0" fontId="0" fillId="0" borderId="0" xfId="0" applyAlignment="1">
      <alignment vertical="top"/>
    </xf>
    <xf numFmtId="0" fontId="0" fillId="0" borderId="0" xfId="0" applyAlignment="1">
      <alignment horizontal="center" vertical="top"/>
    </xf>
    <xf numFmtId="0" fontId="10" fillId="0" borderId="15" xfId="0" applyFont="1" applyBorder="1" applyAlignment="1">
      <alignment horizontal="center" vertical="top"/>
    </xf>
    <xf numFmtId="0" fontId="10" fillId="0" borderId="15" xfId="0" applyFont="1" applyBorder="1" applyAlignment="1">
      <alignment vertical="top"/>
    </xf>
    <xf numFmtId="0" fontId="10" fillId="0" borderId="15" xfId="0" applyFont="1" applyBorder="1" applyAlignment="1">
      <alignment vertical="top" wrapText="1"/>
    </xf>
    <xf numFmtId="0" fontId="10" fillId="0" borderId="0" xfId="0" applyFont="1"/>
    <xf numFmtId="0" fontId="10" fillId="0" borderId="15" xfId="0" applyFont="1" applyBorder="1" applyAlignment="1">
      <alignment horizontal="center" vertical="top" wrapText="1"/>
    </xf>
    <xf numFmtId="0" fontId="1" fillId="9" borderId="0" xfId="0" applyFont="1" applyFill="1" applyAlignment="1">
      <alignment horizontal="center" vertical="center"/>
    </xf>
    <xf numFmtId="0" fontId="2" fillId="10" borderId="0" xfId="0" applyFont="1" applyFill="1" applyAlignment="1">
      <alignment horizontal="center" vertical="center"/>
    </xf>
    <xf numFmtId="0" fontId="6" fillId="2" borderId="0" xfId="0" applyFont="1" applyFill="1" applyAlignment="1">
      <alignment vertical="center"/>
    </xf>
    <xf numFmtId="0" fontId="7" fillId="6" borderId="1" xfId="0" applyFont="1" applyFill="1" applyBorder="1" applyAlignment="1">
      <alignment vertical="top" wrapText="1"/>
    </xf>
    <xf numFmtId="0" fontId="7" fillId="6" borderId="2" xfId="0" applyFont="1" applyFill="1" applyBorder="1" applyAlignment="1">
      <alignment vertical="top" wrapText="1"/>
    </xf>
    <xf numFmtId="0" fontId="7" fillId="6" borderId="3" xfId="0" applyFont="1" applyFill="1" applyBorder="1" applyAlignment="1">
      <alignment vertical="top" wrapText="1"/>
    </xf>
    <xf numFmtId="0" fontId="7" fillId="6" borderId="7" xfId="0" applyFont="1" applyFill="1" applyBorder="1" applyAlignment="1">
      <alignment vertical="top" wrapText="1"/>
    </xf>
    <xf numFmtId="0" fontId="7" fillId="6" borderId="0" xfId="0" applyFont="1" applyFill="1" applyAlignment="1">
      <alignment vertical="top" wrapText="1"/>
    </xf>
    <xf numFmtId="0" fontId="7" fillId="6" borderId="8" xfId="0" applyFont="1" applyFill="1" applyBorder="1" applyAlignment="1">
      <alignment vertical="top" wrapText="1"/>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horizontal="center" vertical="center"/>
    </xf>
    <xf numFmtId="0" fontId="4" fillId="5" borderId="1"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8" fillId="7" borderId="9" xfId="0" applyFont="1" applyFill="1" applyBorder="1" applyAlignment="1">
      <alignment vertical="center" wrapText="1"/>
    </xf>
    <xf numFmtId="0" fontId="8" fillId="7" borderId="10" xfId="0" applyFont="1" applyFill="1" applyBorder="1" applyAlignment="1">
      <alignment vertical="center" wrapText="1"/>
    </xf>
    <xf numFmtId="0" fontId="8" fillId="7" borderId="11" xfId="0" applyFont="1" applyFill="1" applyBorder="1" applyAlignment="1">
      <alignment vertical="center" wrapText="1"/>
    </xf>
    <xf numFmtId="0" fontId="8" fillId="7" borderId="12" xfId="0" applyFont="1" applyFill="1" applyBorder="1" applyAlignment="1">
      <alignment vertical="center" wrapText="1"/>
    </xf>
    <xf numFmtId="0" fontId="8" fillId="7" borderId="13" xfId="0" applyFont="1" applyFill="1" applyBorder="1" applyAlignment="1">
      <alignment vertical="center" wrapText="1"/>
    </xf>
    <xf numFmtId="0" fontId="8" fillId="7" borderId="14" xfId="0" applyFont="1" applyFill="1" applyBorder="1" applyAlignment="1">
      <alignment vertical="center" wrapText="1"/>
    </xf>
  </cellXfs>
  <cellStyles count="2">
    <cellStyle name="Hyperlink" xfId="1" xr:uid="{00000000-0005-0000-0000-000000000000}"/>
    <cellStyle name="Normal" xfId="0" builtinId="0"/>
  </cellStyles>
  <dxfs count="17">
    <dxf>
      <font>
        <color rgb="FF595959"/>
      </font>
      <fill>
        <patternFill>
          <bgColor rgb="FFE7E6E6"/>
        </patternFill>
      </fill>
    </dxf>
    <dxf>
      <font>
        <b/>
        <color rgb="FF9C0006"/>
      </font>
      <fill>
        <patternFill>
          <bgColor rgb="FFFCE4D6"/>
        </patternFill>
      </fill>
    </dxf>
    <dxf>
      <font>
        <b/>
        <color rgb="FF375623"/>
      </font>
      <fill>
        <patternFill>
          <bgColor rgb="FFE2F0D9"/>
        </patternFill>
      </fill>
    </dxf>
    <dxf>
      <font>
        <b/>
        <color rgb="FF9C0006"/>
      </font>
      <fill>
        <patternFill>
          <bgColor rgb="FFFCE4D6"/>
        </patternFill>
      </fill>
    </dxf>
    <dxf>
      <font>
        <b/>
        <color rgb="FF7F6000"/>
      </font>
      <fill>
        <patternFill>
          <bgColor rgb="FFFFF2CC"/>
        </patternFill>
      </fill>
    </dxf>
    <dxf>
      <font>
        <b/>
        <color rgb="FF375623"/>
      </font>
      <fill>
        <patternFill>
          <bgColor rgb="FFE2F0D9"/>
        </patternFill>
      </fill>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Overall Requirement Coverage</a:t>
            </a:r>
          </a:p>
        </c:rich>
      </c:tx>
      <c:overlay val="0"/>
    </c:title>
    <c:autoTitleDeleted val="0"/>
    <c:plotArea>
      <c:layout/>
      <c:barChart>
        <c:barDir val="col"/>
        <c:grouping val="clustered"/>
        <c:varyColors val="0"/>
        <c:ser>
          <c:idx val="0"/>
          <c:order val="0"/>
          <c:tx>
            <c:v>Count</c:v>
          </c:tx>
          <c:invertIfNegative val="1"/>
          <c:cat>
            <c:strRef>
              <c:f>Overview!$A$9:$A$11</c:f>
              <c:strCache>
                <c:ptCount val="3"/>
                <c:pt idx="0">
                  <c:v>Fully Covered</c:v>
                </c:pt>
                <c:pt idx="1">
                  <c:v>Partially Covered</c:v>
                </c:pt>
                <c:pt idx="2">
                  <c:v>Not Covered</c:v>
                </c:pt>
              </c:strCache>
            </c:strRef>
          </c:cat>
          <c:val>
            <c:numRef>
              <c:f>Overview!$B$9:$B$11</c:f>
              <c:numCache>
                <c:formatCode>General</c:formatCode>
                <c:ptCount val="3"/>
                <c:pt idx="0">
                  <c:v>27</c:v>
                </c:pt>
                <c:pt idx="1">
                  <c:v>1</c:v>
                </c:pt>
                <c:pt idx="2">
                  <c:v>16</c:v>
                </c:pt>
              </c:numCache>
            </c:numRef>
          </c:val>
          <c:extLst>
            <c:ext xmlns:c16="http://schemas.microsoft.com/office/drawing/2014/chart" uri="{C3380CC4-5D6E-409C-BE32-E72D297353CC}">
              <c16:uniqueId val="{00000000-5753-4948-94F8-7D0C6B4BB8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13</xdr:col>
      <xdr:colOff>965200</xdr:colOff>
      <xdr:row>18</xdr:row>
      <xdr:rowOff>12700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raceability" displayName="RequirementsTraceability" ref="A7:M51">
  <autoFilter ref="A7:M51" xr:uid="{00000000-0009-0000-0100-000001000000}"/>
  <tableColumns count="13">
    <tableColumn id="1" xr3:uid="{00000000-0010-0000-0000-000001000000}" name="Requirement ID"/>
    <tableColumn id="2" xr3:uid="{00000000-0010-0000-0000-000002000000}" name="Requirement Source"/>
    <tableColumn id="3" xr3:uid="{00000000-0010-0000-0000-000003000000}" name="Source Scenario ID"/>
    <tableColumn id="4" xr3:uid="{00000000-0010-0000-0000-000004000000}" name="Feature"/>
    <tableColumn id="5" xr3:uid="{00000000-0010-0000-0000-000005000000}" name="Requirement / Scenario"/>
    <tableColumn id="6" xr3:uid="{00000000-0010-0000-0000-000006000000}" name="Mapped Test Case ID(s)"/>
    <tableColumn id="7" xr3:uid="{00000000-0010-0000-0000-000007000000}" name="Coverage Status"/>
    <tableColumn id="8" xr3:uid="{00000000-0010-0000-0000-000008000000}" name="Coverage Rationale"/>
    <tableColumn id="9" xr3:uid="{00000000-0010-0000-0000-000009000000}" name="Test Type"/>
    <tableColumn id="10" xr3:uid="{00000000-0010-0000-0000-00000A000000}" name="Priority"/>
    <tableColumn id="11" xr3:uid="{00000000-0010-0000-0000-00000B000000}" name="Execution Status"/>
    <tableColumn id="12" xr3:uid="{00000000-0010-0000-0000-00000C000000}" name="Defect ID(s)"/>
    <tableColumn id="13" xr3:uid="{00000000-0010-0000-0000-00000D000000}" name="Gap / Recommended 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ScenarioRegister" displayName="SourceScenarioRegister" ref="A4:D30">
  <autoFilter ref="A4:D30" xr:uid="{00000000-0009-0000-0100-000002000000}"/>
  <tableColumns count="4">
    <tableColumn id="1" xr3:uid="{00000000-0010-0000-0100-000001000000}" name="Source Scenario ID"/>
    <tableColumn id="2" xr3:uid="{00000000-0010-0000-0100-000002000000}" name="Exact Scenario Title"/>
    <tableColumn id="3" xr3:uid="{00000000-0010-0000-0100-000003000000}" name="Step Count"/>
    <tableColumn id="4" xr3:uid="{00000000-0010-0000-0100-000004000000}" name="Exact Source Step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fficialApiScenarios" displayName="OfficialApiScenarios" ref="A4:H18" headerRowDxfId="16" dataDxfId="15" totalsRowDxfId="14">
  <autoFilter ref="A4:H18" xr:uid="{00000000-0009-0000-0100-000003000000}"/>
  <tableColumns count="8">
    <tableColumn id="1" xr3:uid="{00000000-0010-0000-0200-000001000000}" name="Source API ID" dataDxfId="13"/>
    <tableColumn id="2" xr3:uid="{00000000-0010-0000-0200-000002000000}" name="Exact Scenario Title" dataDxfId="12"/>
    <tableColumn id="3" xr3:uid="{00000000-0010-0000-0200-000003000000}" name="API URL" dataDxfId="11"/>
    <tableColumn id="4" xr3:uid="{00000000-0010-0000-0200-000004000000}" name="Request Method" dataDxfId="10"/>
    <tableColumn id="5" xr3:uid="{00000000-0010-0000-0200-000005000000}" name="Exact Request Parameter(s)" dataDxfId="9"/>
    <tableColumn id="6" xr3:uid="{00000000-0010-0000-0200-000006000000}" name="Response Code" dataDxfId="8"/>
    <tableColumn id="7" xr3:uid="{00000000-0010-0000-0200-000007000000}" name="Response Type" dataDxfId="7"/>
    <tableColumn id="8" xr3:uid="{00000000-0010-0000-0200-000008000000}" name="Exact Expected Response" dataDxfId="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showGridLines="0" topLeftCell="A10" workbookViewId="0">
      <selection activeCell="P18" sqref="P18"/>
    </sheetView>
  </sheetViews>
  <sheetFormatPr defaultRowHeight="14"/>
  <cols>
    <col min="1" max="1" width="22" customWidth="1"/>
    <col min="2" max="2" width="14" customWidth="1"/>
    <col min="3" max="5" width="18" customWidth="1"/>
    <col min="6" max="14" width="13" customWidth="1"/>
  </cols>
  <sheetData>
    <row r="1" spans="1:14" ht="36" customHeight="1">
      <c r="A1" s="40" t="s">
        <v>0</v>
      </c>
      <c r="B1" s="40"/>
      <c r="C1" s="40"/>
      <c r="D1" s="40"/>
      <c r="E1" s="40"/>
      <c r="F1" s="40"/>
      <c r="G1" s="40"/>
      <c r="H1" s="40"/>
      <c r="I1" s="40"/>
      <c r="J1" s="40"/>
      <c r="K1" s="40"/>
      <c r="L1" s="40"/>
      <c r="M1" s="40"/>
      <c r="N1" s="40"/>
    </row>
    <row r="2" spans="1:14" ht="24" customHeight="1">
      <c r="A2" s="41" t="s">
        <v>282</v>
      </c>
      <c r="B2" s="41"/>
      <c r="C2" s="41"/>
      <c r="D2" s="41"/>
      <c r="E2" s="41"/>
      <c r="F2" s="41"/>
      <c r="G2" s="41"/>
      <c r="H2" s="41"/>
      <c r="I2" s="41"/>
      <c r="J2" s="41"/>
      <c r="K2" s="41"/>
      <c r="L2" s="41"/>
      <c r="M2" s="41"/>
      <c r="N2" s="41"/>
    </row>
    <row r="4" spans="1:14">
      <c r="A4" s="42" t="s">
        <v>1</v>
      </c>
      <c r="B4" s="42"/>
      <c r="C4" s="42"/>
      <c r="E4" s="42" t="s">
        <v>2</v>
      </c>
      <c r="F4" s="42"/>
      <c r="G4" s="42"/>
      <c r="I4" s="42" t="s">
        <v>3</v>
      </c>
      <c r="J4" s="42"/>
      <c r="K4" s="42"/>
      <c r="M4" s="42" t="s">
        <v>4</v>
      </c>
      <c r="N4" s="42"/>
    </row>
    <row r="5" spans="1:14">
      <c r="A5" s="43">
        <f>COUNTA(RTM!A8:A107)</f>
        <v>44</v>
      </c>
      <c r="B5" s="44"/>
      <c r="C5" s="45"/>
      <c r="E5" s="43">
        <f>COUNTIF(RTM!G8:G107,"Fully Covered")</f>
        <v>27</v>
      </c>
      <c r="F5" s="44"/>
      <c r="G5" s="45"/>
      <c r="I5" s="43">
        <f>COUNTIF(RTM!G8:G107,"Partially Covered")</f>
        <v>1</v>
      </c>
      <c r="J5" s="44"/>
      <c r="K5" s="45"/>
      <c r="M5" s="43">
        <f>COUNTIF(RTM!G8:G107,"Not Covered")</f>
        <v>16</v>
      </c>
      <c r="N5" s="45"/>
    </row>
    <row r="6" spans="1:14">
      <c r="A6" s="46"/>
      <c r="B6" s="47"/>
      <c r="C6" s="48"/>
      <c r="E6" s="46"/>
      <c r="F6" s="47"/>
      <c r="G6" s="48"/>
      <c r="I6" s="46"/>
      <c r="J6" s="47"/>
      <c r="K6" s="48"/>
      <c r="M6" s="46"/>
      <c r="N6" s="48"/>
    </row>
    <row r="8" spans="1:14">
      <c r="A8" s="17" t="s">
        <v>25</v>
      </c>
      <c r="B8" s="17" t="s">
        <v>6</v>
      </c>
      <c r="C8" s="17" t="s">
        <v>283</v>
      </c>
      <c r="D8" s="17" t="s">
        <v>284</v>
      </c>
      <c r="E8" s="17" t="s">
        <v>198</v>
      </c>
    </row>
    <row r="9" spans="1:14">
      <c r="A9" s="18" t="s">
        <v>2</v>
      </c>
      <c r="B9" s="18">
        <f>COUNTIF(RTM!G8:G107,"Fully Covered")</f>
        <v>27</v>
      </c>
      <c r="C9" s="18">
        <f>COUNTIFS(RTM!B8:B107,"Site Scenario",RTM!G8:G107,"Fully Covered")</f>
        <v>9</v>
      </c>
      <c r="D9" s="18">
        <f>COUNTIFS(RTM!B8:B107,"Site API Scenario",RTM!G8:G107,"Fully Covered")</f>
        <v>14</v>
      </c>
      <c r="E9" s="18">
        <f>COUNTIFS(RTM!B8:B107,"Tester-Derived",RTM!G8:G107,"Fully Covered")</f>
        <v>4</v>
      </c>
    </row>
    <row r="10" spans="1:14">
      <c r="A10" s="18" t="s">
        <v>3</v>
      </c>
      <c r="B10" s="18">
        <f>COUNTIF(RTM!G8:G107,"Partially Covered")</f>
        <v>1</v>
      </c>
      <c r="C10" s="18">
        <f>COUNTIFS(RTM!B8:B107,"Site Scenario",RTM!G8:G107,"Partially Covered")</f>
        <v>1</v>
      </c>
      <c r="D10" s="18">
        <f>COUNTIFS(RTM!B8:B107,"Site API Scenario",RTM!G8:G107,"Partially Covered")</f>
        <v>0</v>
      </c>
      <c r="E10" s="18">
        <f>COUNTIFS(RTM!B8:B107,"Tester-Derived",RTM!G8:G107,"Partially Covered")</f>
        <v>0</v>
      </c>
    </row>
    <row r="11" spans="1:14">
      <c r="A11" s="18" t="s">
        <v>4</v>
      </c>
      <c r="B11" s="18">
        <f>COUNTIF(RTM!G8:G107,"Not Covered")</f>
        <v>16</v>
      </c>
      <c r="C11" s="18">
        <f>COUNTIFS(RTM!B8:B107,"Site Scenario",RTM!G8:G107,"Not Covered")</f>
        <v>16</v>
      </c>
      <c r="D11" s="18">
        <f>COUNTIFS(RTM!B8:B107,"Site API Scenario",RTM!G8:G107,"Not Covered")</f>
        <v>0</v>
      </c>
      <c r="E11" s="18">
        <f>COUNTIFS(RTM!B8:B107,"Tester-Derived",RTM!G8:G107,"Not Covered")</f>
        <v>0</v>
      </c>
    </row>
    <row r="14" spans="1:14">
      <c r="A14" s="19" t="s">
        <v>5</v>
      </c>
      <c r="B14" s="19" t="s">
        <v>6</v>
      </c>
      <c r="C14" s="19" t="s">
        <v>7</v>
      </c>
      <c r="D14" s="19" t="s">
        <v>8</v>
      </c>
    </row>
    <row r="15" spans="1:14" ht="37.5">
      <c r="A15" s="20" t="s">
        <v>9</v>
      </c>
      <c r="B15" s="20">
        <f>COUNTIF(RTM!K8:K107,"Pass")</f>
        <v>11</v>
      </c>
      <c r="C15" s="20">
        <f>0</f>
        <v>0</v>
      </c>
      <c r="D15" s="20" t="s">
        <v>10</v>
      </c>
    </row>
    <row r="16" spans="1:14" ht="37.5">
      <c r="A16" s="20" t="s">
        <v>11</v>
      </c>
      <c r="B16" s="20">
        <f>COUNTIF(RTM!K8:K107,"Fail")</f>
        <v>3</v>
      </c>
      <c r="C16" s="20">
        <f>COUNTIF(RTM!K8:K107,"Fail")</f>
        <v>3</v>
      </c>
      <c r="D16" s="20" t="s">
        <v>12</v>
      </c>
    </row>
    <row r="17" spans="1:14" ht="25">
      <c r="A17" s="20" t="s">
        <v>13</v>
      </c>
      <c r="B17" s="20">
        <f>COUNTIF(RTM!K8:K107,"Not Run")</f>
        <v>30</v>
      </c>
      <c r="C17" s="20">
        <f>0</f>
        <v>0</v>
      </c>
      <c r="D17" s="20" t="s">
        <v>14</v>
      </c>
    </row>
    <row r="20" spans="1:14" ht="15.5">
      <c r="A20" s="30" t="s">
        <v>15</v>
      </c>
      <c r="B20" s="30"/>
      <c r="C20" s="30"/>
      <c r="D20" s="30"/>
      <c r="E20" s="30"/>
      <c r="F20" s="30"/>
      <c r="G20" s="30"/>
      <c r="H20" s="30"/>
      <c r="I20" s="30"/>
      <c r="J20" s="30"/>
      <c r="K20" s="30"/>
      <c r="L20" s="30"/>
      <c r="M20" s="30"/>
      <c r="N20" s="30"/>
    </row>
    <row r="21" spans="1:14" ht="30" customHeight="1">
      <c r="A21" s="31" t="s">
        <v>285</v>
      </c>
      <c r="B21" s="32"/>
      <c r="C21" s="32"/>
      <c r="D21" s="32"/>
      <c r="E21" s="32"/>
      <c r="F21" s="32"/>
      <c r="G21" s="32"/>
      <c r="H21" s="32"/>
      <c r="I21" s="32"/>
      <c r="J21" s="32"/>
      <c r="K21" s="32"/>
      <c r="L21" s="32"/>
      <c r="M21" s="32"/>
      <c r="N21" s="33"/>
    </row>
    <row r="22" spans="1:14" ht="30" customHeight="1">
      <c r="A22" s="34"/>
      <c r="B22" s="35"/>
      <c r="C22" s="35"/>
      <c r="D22" s="35"/>
      <c r="E22" s="35"/>
      <c r="F22" s="35"/>
      <c r="G22" s="35"/>
      <c r="H22" s="35"/>
      <c r="I22" s="35"/>
      <c r="J22" s="35"/>
      <c r="K22" s="35"/>
      <c r="L22" s="35"/>
      <c r="M22" s="35"/>
      <c r="N22" s="36"/>
    </row>
    <row r="23" spans="1:14" ht="30" customHeight="1">
      <c r="A23" s="34"/>
      <c r="B23" s="35"/>
      <c r="C23" s="35"/>
      <c r="D23" s="35"/>
      <c r="E23" s="35"/>
      <c r="F23" s="35"/>
      <c r="G23" s="35"/>
      <c r="H23" s="35"/>
      <c r="I23" s="35"/>
      <c r="J23" s="35"/>
      <c r="K23" s="35"/>
      <c r="L23" s="35"/>
      <c r="M23" s="35"/>
      <c r="N23" s="36"/>
    </row>
    <row r="24" spans="1:14" ht="30" customHeight="1">
      <c r="A24" s="34"/>
      <c r="B24" s="35"/>
      <c r="C24" s="35"/>
      <c r="D24" s="35"/>
      <c r="E24" s="35"/>
      <c r="F24" s="35"/>
      <c r="G24" s="35"/>
      <c r="H24" s="35"/>
      <c r="I24" s="35"/>
      <c r="J24" s="35"/>
      <c r="K24" s="35"/>
      <c r="L24" s="35"/>
      <c r="M24" s="35"/>
      <c r="N24" s="36"/>
    </row>
    <row r="25" spans="1:14" ht="30" customHeight="1">
      <c r="A25" s="37"/>
      <c r="B25" s="38"/>
      <c r="C25" s="38"/>
      <c r="D25" s="38"/>
      <c r="E25" s="38"/>
      <c r="F25" s="38"/>
      <c r="G25" s="38"/>
      <c r="H25" s="38"/>
      <c r="I25" s="38"/>
      <c r="J25" s="38"/>
      <c r="K25" s="38"/>
      <c r="L25" s="38"/>
      <c r="M25" s="38"/>
      <c r="N25" s="39"/>
    </row>
  </sheetData>
  <mergeCells count="12">
    <mergeCell ref="A20:N20"/>
    <mergeCell ref="A21:N25"/>
    <mergeCell ref="A1:N1"/>
    <mergeCell ref="A2:N2"/>
    <mergeCell ref="A4:C4"/>
    <mergeCell ref="A5:C6"/>
    <mergeCell ref="E4:G4"/>
    <mergeCell ref="E5:G6"/>
    <mergeCell ref="I4:K4"/>
    <mergeCell ref="I5:K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3"/>
  <sheetViews>
    <sheetView showGridLines="0" tabSelected="1" topLeftCell="A40" workbookViewId="0">
      <selection activeCell="H51" sqref="H51"/>
    </sheetView>
  </sheetViews>
  <sheetFormatPr defaultRowHeight="14"/>
  <cols>
    <col min="1" max="3" width="18" customWidth="1"/>
    <col min="4" max="4" width="20" customWidth="1"/>
    <col min="5" max="5" width="38" customWidth="1"/>
    <col min="6" max="6" width="26" customWidth="1"/>
    <col min="7" max="7" width="20" customWidth="1"/>
    <col min="8" max="8" width="52" customWidth="1"/>
    <col min="9" max="9" width="24" customWidth="1"/>
    <col min="10" max="10" width="13" customWidth="1"/>
    <col min="11" max="11" width="17" customWidth="1"/>
    <col min="12" max="12" width="20" customWidth="1"/>
    <col min="13" max="13" width="53.33203125" customWidth="1"/>
  </cols>
  <sheetData>
    <row r="1" spans="1:13" ht="36" customHeight="1">
      <c r="A1" s="40" t="s">
        <v>16</v>
      </c>
      <c r="B1" s="40"/>
      <c r="C1" s="40"/>
      <c r="D1" s="40"/>
      <c r="E1" s="40"/>
      <c r="F1" s="40"/>
      <c r="G1" s="40"/>
      <c r="H1" s="40"/>
      <c r="I1" s="40"/>
      <c r="J1" s="40"/>
      <c r="K1" s="40"/>
      <c r="L1" s="40"/>
      <c r="M1" s="40"/>
    </row>
    <row r="2" spans="1:13" ht="24" customHeight="1">
      <c r="A2" s="41" t="s">
        <v>17</v>
      </c>
      <c r="B2" s="41"/>
      <c r="C2" s="41"/>
      <c r="D2" s="41"/>
      <c r="E2" s="41"/>
      <c r="F2" s="41"/>
      <c r="G2" s="41"/>
      <c r="H2" s="41"/>
      <c r="I2" s="41"/>
      <c r="J2" s="41"/>
      <c r="K2" s="41"/>
      <c r="L2" s="41"/>
      <c r="M2" s="41"/>
    </row>
    <row r="4" spans="1:13">
      <c r="A4" s="49" t="s">
        <v>18</v>
      </c>
      <c r="B4" s="50"/>
      <c r="C4" s="50"/>
      <c r="D4" s="50"/>
      <c r="E4" s="50"/>
      <c r="F4" s="50"/>
      <c r="G4" s="50"/>
      <c r="H4" s="50"/>
      <c r="I4" s="50"/>
      <c r="J4" s="50"/>
      <c r="K4" s="50"/>
      <c r="L4" s="50"/>
      <c r="M4" s="51"/>
    </row>
    <row r="5" spans="1:13">
      <c r="A5" s="52"/>
      <c r="B5" s="53"/>
      <c r="C5" s="53"/>
      <c r="D5" s="53"/>
      <c r="E5" s="53"/>
      <c r="F5" s="53"/>
      <c r="G5" s="53"/>
      <c r="H5" s="53"/>
      <c r="I5" s="53"/>
      <c r="J5" s="53"/>
      <c r="K5" s="53"/>
      <c r="L5" s="53"/>
      <c r="M5" s="54"/>
    </row>
    <row r="7" spans="1:13" ht="42" customHeight="1">
      <c r="A7" s="1" t="s">
        <v>19</v>
      </c>
      <c r="B7" s="2" t="s">
        <v>20</v>
      </c>
      <c r="C7" s="2" t="s">
        <v>21</v>
      </c>
      <c r="D7" s="2" t="s">
        <v>22</v>
      </c>
      <c r="E7" s="2" t="s">
        <v>23</v>
      </c>
      <c r="F7" s="2" t="s">
        <v>24</v>
      </c>
      <c r="G7" s="2" t="s">
        <v>25</v>
      </c>
      <c r="H7" s="2" t="s">
        <v>26</v>
      </c>
      <c r="I7" s="2" t="s">
        <v>27</v>
      </c>
      <c r="J7" s="2" t="s">
        <v>28</v>
      </c>
      <c r="K7" s="2" t="s">
        <v>5</v>
      </c>
      <c r="L7" s="2" t="s">
        <v>29</v>
      </c>
      <c r="M7" s="3" t="s">
        <v>30</v>
      </c>
    </row>
    <row r="8" spans="1:13" ht="57" customHeight="1">
      <c r="A8" s="4" t="s">
        <v>31</v>
      </c>
      <c r="B8" s="5" t="s">
        <v>32</v>
      </c>
      <c r="C8" s="6" t="s">
        <v>33</v>
      </c>
      <c r="D8" s="5" t="s">
        <v>34</v>
      </c>
      <c r="E8" s="5" t="s">
        <v>35</v>
      </c>
      <c r="F8" s="6" t="s">
        <v>36</v>
      </c>
      <c r="G8" s="5" t="s">
        <v>3</v>
      </c>
      <c r="H8" s="7" t="s">
        <v>37</v>
      </c>
      <c r="I8" s="5" t="s">
        <v>38</v>
      </c>
      <c r="J8" s="5" t="s">
        <v>39</v>
      </c>
      <c r="K8" s="5" t="s">
        <v>9</v>
      </c>
      <c r="L8" s="5"/>
      <c r="M8" s="8" t="s">
        <v>40</v>
      </c>
    </row>
    <row r="9" spans="1:13" ht="57" customHeight="1">
      <c r="A9" s="4" t="s">
        <v>41</v>
      </c>
      <c r="B9" s="5" t="s">
        <v>32</v>
      </c>
      <c r="C9" s="6" t="s">
        <v>42</v>
      </c>
      <c r="D9" s="5" t="s">
        <v>43</v>
      </c>
      <c r="E9" s="5" t="s">
        <v>44</v>
      </c>
      <c r="F9" s="6" t="s">
        <v>45</v>
      </c>
      <c r="G9" s="5" t="s">
        <v>2</v>
      </c>
      <c r="H9" s="7" t="s">
        <v>46</v>
      </c>
      <c r="I9" s="5" t="s">
        <v>38</v>
      </c>
      <c r="J9" s="5" t="s">
        <v>39</v>
      </c>
      <c r="K9" s="5" t="s">
        <v>9</v>
      </c>
      <c r="L9" s="5"/>
      <c r="M9" s="8" t="s">
        <v>47</v>
      </c>
    </row>
    <row r="10" spans="1:13" ht="57" customHeight="1">
      <c r="A10" s="4" t="s">
        <v>48</v>
      </c>
      <c r="B10" s="5" t="s">
        <v>32</v>
      </c>
      <c r="C10" s="6" t="s">
        <v>49</v>
      </c>
      <c r="D10" s="5" t="s">
        <v>50</v>
      </c>
      <c r="E10" s="5" t="s">
        <v>51</v>
      </c>
      <c r="F10" s="6" t="s">
        <v>52</v>
      </c>
      <c r="G10" s="5" t="s">
        <v>2</v>
      </c>
      <c r="H10" s="7" t="s">
        <v>53</v>
      </c>
      <c r="I10" s="5" t="s">
        <v>54</v>
      </c>
      <c r="J10" s="5" t="s">
        <v>55</v>
      </c>
      <c r="K10" s="5" t="s">
        <v>9</v>
      </c>
      <c r="L10" s="5"/>
      <c r="M10" s="8" t="s">
        <v>56</v>
      </c>
    </row>
    <row r="11" spans="1:13" ht="57" customHeight="1">
      <c r="A11" s="4" t="s">
        <v>57</v>
      </c>
      <c r="B11" s="5" t="s">
        <v>32</v>
      </c>
      <c r="C11" s="6" t="s">
        <v>58</v>
      </c>
      <c r="D11" s="5" t="s">
        <v>59</v>
      </c>
      <c r="E11" s="5" t="s">
        <v>60</v>
      </c>
      <c r="F11" s="6" t="s">
        <v>61</v>
      </c>
      <c r="G11" s="5" t="s">
        <v>2</v>
      </c>
      <c r="H11" s="7" t="s">
        <v>62</v>
      </c>
      <c r="I11" s="5" t="s">
        <v>38</v>
      </c>
      <c r="J11" s="5" t="s">
        <v>55</v>
      </c>
      <c r="K11" s="5" t="s">
        <v>11</v>
      </c>
      <c r="L11" s="6" t="s">
        <v>63</v>
      </c>
      <c r="M11" s="8" t="s">
        <v>64</v>
      </c>
    </row>
    <row r="12" spans="1:13" ht="57" customHeight="1">
      <c r="A12" s="4" t="s">
        <v>65</v>
      </c>
      <c r="B12" s="5" t="s">
        <v>32</v>
      </c>
      <c r="C12" s="6" t="s">
        <v>66</v>
      </c>
      <c r="D12" s="5" t="s">
        <v>34</v>
      </c>
      <c r="E12" s="5" t="s">
        <v>67</v>
      </c>
      <c r="F12" s="6" t="s">
        <v>68</v>
      </c>
      <c r="G12" s="5" t="s">
        <v>2</v>
      </c>
      <c r="H12" s="7" t="s">
        <v>69</v>
      </c>
      <c r="I12" s="5" t="s">
        <v>54</v>
      </c>
      <c r="J12" s="5" t="s">
        <v>55</v>
      </c>
      <c r="K12" s="5" t="s">
        <v>9</v>
      </c>
      <c r="L12" s="6"/>
      <c r="M12" s="8" t="s">
        <v>70</v>
      </c>
    </row>
    <row r="13" spans="1:13" ht="57" customHeight="1">
      <c r="A13" s="4" t="s">
        <v>71</v>
      </c>
      <c r="B13" s="5" t="s">
        <v>32</v>
      </c>
      <c r="C13" s="6" t="s">
        <v>72</v>
      </c>
      <c r="D13" s="5" t="s">
        <v>73</v>
      </c>
      <c r="E13" s="5" t="s">
        <v>74</v>
      </c>
      <c r="F13" s="6"/>
      <c r="G13" s="5" t="s">
        <v>4</v>
      </c>
      <c r="H13" s="7" t="s">
        <v>75</v>
      </c>
      <c r="I13" s="5" t="s">
        <v>38</v>
      </c>
      <c r="J13" s="5" t="s">
        <v>76</v>
      </c>
      <c r="K13" s="5" t="s">
        <v>13</v>
      </c>
      <c r="L13" s="6"/>
      <c r="M13" s="8" t="s">
        <v>77</v>
      </c>
    </row>
    <row r="14" spans="1:13" ht="57" customHeight="1">
      <c r="A14" s="4" t="s">
        <v>78</v>
      </c>
      <c r="B14" s="5" t="s">
        <v>32</v>
      </c>
      <c r="C14" s="6" t="s">
        <v>79</v>
      </c>
      <c r="D14" s="5" t="s">
        <v>80</v>
      </c>
      <c r="E14" s="5" t="s">
        <v>81</v>
      </c>
      <c r="F14" s="6"/>
      <c r="G14" s="5" t="s">
        <v>4</v>
      </c>
      <c r="H14" s="7" t="s">
        <v>82</v>
      </c>
      <c r="I14" s="5" t="s">
        <v>38</v>
      </c>
      <c r="J14" s="5" t="s">
        <v>83</v>
      </c>
      <c r="K14" s="5" t="s">
        <v>13</v>
      </c>
      <c r="L14" s="6"/>
      <c r="M14" s="8" t="s">
        <v>84</v>
      </c>
    </row>
    <row r="15" spans="1:13" ht="57" customHeight="1">
      <c r="A15" s="4" t="s">
        <v>85</v>
      </c>
      <c r="B15" s="5" t="s">
        <v>32</v>
      </c>
      <c r="C15" s="6" t="s">
        <v>86</v>
      </c>
      <c r="D15" s="5" t="s">
        <v>87</v>
      </c>
      <c r="E15" s="5" t="s">
        <v>88</v>
      </c>
      <c r="F15" s="6" t="s">
        <v>89</v>
      </c>
      <c r="G15" s="5" t="s">
        <v>2</v>
      </c>
      <c r="H15" s="7" t="s">
        <v>90</v>
      </c>
      <c r="I15" s="5" t="s">
        <v>38</v>
      </c>
      <c r="J15" s="5" t="s">
        <v>55</v>
      </c>
      <c r="K15" s="5" t="s">
        <v>9</v>
      </c>
      <c r="L15" s="6"/>
      <c r="M15" s="8" t="s">
        <v>91</v>
      </c>
    </row>
    <row r="16" spans="1:13" ht="57" customHeight="1">
      <c r="A16" s="4" t="s">
        <v>92</v>
      </c>
      <c r="B16" s="5" t="s">
        <v>32</v>
      </c>
      <c r="C16" s="6" t="s">
        <v>93</v>
      </c>
      <c r="D16" s="5" t="s">
        <v>87</v>
      </c>
      <c r="E16" s="5" t="s">
        <v>94</v>
      </c>
      <c r="F16" s="6" t="s">
        <v>95</v>
      </c>
      <c r="G16" s="5" t="s">
        <v>2</v>
      </c>
      <c r="H16" s="7" t="s">
        <v>96</v>
      </c>
      <c r="I16" s="5" t="s">
        <v>38</v>
      </c>
      <c r="J16" s="5" t="s">
        <v>55</v>
      </c>
      <c r="K16" s="5" t="s">
        <v>9</v>
      </c>
      <c r="L16" s="6"/>
      <c r="M16" s="8" t="s">
        <v>97</v>
      </c>
    </row>
    <row r="17" spans="1:13" ht="57" customHeight="1">
      <c r="A17" s="4" t="s">
        <v>98</v>
      </c>
      <c r="B17" s="5" t="s">
        <v>32</v>
      </c>
      <c r="C17" s="6" t="s">
        <v>99</v>
      </c>
      <c r="D17" s="5" t="s">
        <v>100</v>
      </c>
      <c r="E17" s="5" t="s">
        <v>101</v>
      </c>
      <c r="F17" s="6"/>
      <c r="G17" s="5" t="s">
        <v>4</v>
      </c>
      <c r="H17" s="7" t="s">
        <v>102</v>
      </c>
      <c r="I17" s="5" t="s">
        <v>38</v>
      </c>
      <c r="J17" s="5" t="s">
        <v>76</v>
      </c>
      <c r="K17" s="5" t="s">
        <v>13</v>
      </c>
      <c r="L17" s="6"/>
      <c r="M17" s="8" t="s">
        <v>103</v>
      </c>
    </row>
    <row r="18" spans="1:13" ht="57" customHeight="1">
      <c r="A18" s="4" t="s">
        <v>104</v>
      </c>
      <c r="B18" s="5" t="s">
        <v>32</v>
      </c>
      <c r="C18" s="6" t="s">
        <v>105</v>
      </c>
      <c r="D18" s="5" t="s">
        <v>100</v>
      </c>
      <c r="E18" s="5" t="s">
        <v>106</v>
      </c>
      <c r="F18" s="6"/>
      <c r="G18" s="5" t="s">
        <v>4</v>
      </c>
      <c r="H18" s="7" t="s">
        <v>107</v>
      </c>
      <c r="I18" s="5" t="s">
        <v>38</v>
      </c>
      <c r="J18" s="5" t="s">
        <v>76</v>
      </c>
      <c r="K18" s="5" t="s">
        <v>13</v>
      </c>
      <c r="L18" s="6"/>
      <c r="M18" s="8" t="s">
        <v>108</v>
      </c>
    </row>
    <row r="19" spans="1:13" ht="57" customHeight="1">
      <c r="A19" s="4" t="s">
        <v>109</v>
      </c>
      <c r="B19" s="5" t="s">
        <v>32</v>
      </c>
      <c r="C19" s="6" t="s">
        <v>110</v>
      </c>
      <c r="D19" s="5" t="s">
        <v>111</v>
      </c>
      <c r="E19" s="5" t="s">
        <v>112</v>
      </c>
      <c r="F19" s="6" t="s">
        <v>113</v>
      </c>
      <c r="G19" s="5" t="s">
        <v>2</v>
      </c>
      <c r="H19" s="7" t="s">
        <v>114</v>
      </c>
      <c r="I19" s="5" t="s">
        <v>38</v>
      </c>
      <c r="J19" s="5" t="s">
        <v>39</v>
      </c>
      <c r="K19" s="5" t="s">
        <v>11</v>
      </c>
      <c r="L19" s="6" t="s">
        <v>115</v>
      </c>
      <c r="M19" s="8" t="s">
        <v>116</v>
      </c>
    </row>
    <row r="20" spans="1:13" ht="57" customHeight="1">
      <c r="A20" s="4" t="s">
        <v>117</v>
      </c>
      <c r="B20" s="5" t="s">
        <v>32</v>
      </c>
      <c r="C20" s="6" t="s">
        <v>118</v>
      </c>
      <c r="D20" s="5" t="s">
        <v>111</v>
      </c>
      <c r="E20" s="5" t="s">
        <v>119</v>
      </c>
      <c r="F20" s="6" t="s">
        <v>120</v>
      </c>
      <c r="G20" s="5" t="s">
        <v>2</v>
      </c>
      <c r="H20" s="7" t="s">
        <v>121</v>
      </c>
      <c r="I20" s="5" t="s">
        <v>38</v>
      </c>
      <c r="J20" s="5" t="s">
        <v>55</v>
      </c>
      <c r="K20" s="5" t="s">
        <v>11</v>
      </c>
      <c r="L20" s="6" t="s">
        <v>122</v>
      </c>
      <c r="M20" s="8" t="s">
        <v>123</v>
      </c>
    </row>
    <row r="21" spans="1:13" ht="57" customHeight="1">
      <c r="A21" s="4" t="s">
        <v>124</v>
      </c>
      <c r="B21" s="5" t="s">
        <v>32</v>
      </c>
      <c r="C21" s="6" t="s">
        <v>125</v>
      </c>
      <c r="D21" s="5" t="s">
        <v>126</v>
      </c>
      <c r="E21" s="5" t="s">
        <v>127</v>
      </c>
      <c r="F21" s="6"/>
      <c r="G21" s="5" t="s">
        <v>4</v>
      </c>
      <c r="H21" s="7" t="s">
        <v>128</v>
      </c>
      <c r="I21" s="5" t="s">
        <v>129</v>
      </c>
      <c r="J21" s="5" t="s">
        <v>39</v>
      </c>
      <c r="K21" s="5" t="s">
        <v>13</v>
      </c>
      <c r="L21" s="6"/>
      <c r="M21" s="8" t="s">
        <v>130</v>
      </c>
    </row>
    <row r="22" spans="1:13" ht="57" customHeight="1">
      <c r="A22" s="4" t="s">
        <v>131</v>
      </c>
      <c r="B22" s="5" t="s">
        <v>32</v>
      </c>
      <c r="C22" s="6" t="s">
        <v>132</v>
      </c>
      <c r="D22" s="5" t="s">
        <v>126</v>
      </c>
      <c r="E22" s="5" t="s">
        <v>133</v>
      </c>
      <c r="F22" s="6"/>
      <c r="G22" s="5" t="s">
        <v>4</v>
      </c>
      <c r="H22" s="7" t="s">
        <v>134</v>
      </c>
      <c r="I22" s="5" t="s">
        <v>129</v>
      </c>
      <c r="J22" s="5" t="s">
        <v>39</v>
      </c>
      <c r="K22" s="5" t="s">
        <v>13</v>
      </c>
      <c r="L22" s="6"/>
      <c r="M22" s="8" t="s">
        <v>135</v>
      </c>
    </row>
    <row r="23" spans="1:13" ht="57" customHeight="1">
      <c r="A23" s="4" t="s">
        <v>136</v>
      </c>
      <c r="B23" s="5" t="s">
        <v>32</v>
      </c>
      <c r="C23" s="6" t="s">
        <v>137</v>
      </c>
      <c r="D23" s="5" t="s">
        <v>126</v>
      </c>
      <c r="E23" s="5" t="s">
        <v>138</v>
      </c>
      <c r="F23" s="6"/>
      <c r="G23" s="5" t="s">
        <v>4</v>
      </c>
      <c r="H23" s="7" t="s">
        <v>139</v>
      </c>
      <c r="I23" s="5" t="s">
        <v>129</v>
      </c>
      <c r="J23" s="5" t="s">
        <v>39</v>
      </c>
      <c r="K23" s="5" t="s">
        <v>13</v>
      </c>
      <c r="L23" s="6"/>
      <c r="M23" s="8" t="s">
        <v>140</v>
      </c>
    </row>
    <row r="24" spans="1:13" ht="57" customHeight="1">
      <c r="A24" s="4" t="s">
        <v>141</v>
      </c>
      <c r="B24" s="5" t="s">
        <v>32</v>
      </c>
      <c r="C24" s="6" t="s">
        <v>142</v>
      </c>
      <c r="D24" s="5" t="s">
        <v>111</v>
      </c>
      <c r="E24" s="5" t="s">
        <v>143</v>
      </c>
      <c r="F24" s="6" t="s">
        <v>144</v>
      </c>
      <c r="G24" s="5" t="s">
        <v>2</v>
      </c>
      <c r="H24" s="7" t="s">
        <v>145</v>
      </c>
      <c r="I24" s="5" t="s">
        <v>38</v>
      </c>
      <c r="J24" s="5" t="s">
        <v>55</v>
      </c>
      <c r="K24" s="5" t="s">
        <v>9</v>
      </c>
      <c r="L24" s="6"/>
      <c r="M24" s="8" t="s">
        <v>146</v>
      </c>
    </row>
    <row r="25" spans="1:13" ht="57" customHeight="1">
      <c r="A25" s="4" t="s">
        <v>147</v>
      </c>
      <c r="B25" s="5" t="s">
        <v>32</v>
      </c>
      <c r="C25" s="6" t="s">
        <v>148</v>
      </c>
      <c r="D25" s="5" t="s">
        <v>149</v>
      </c>
      <c r="E25" s="5" t="s">
        <v>150</v>
      </c>
      <c r="F25" s="6"/>
      <c r="G25" s="5" t="s">
        <v>4</v>
      </c>
      <c r="H25" s="7" t="s">
        <v>151</v>
      </c>
      <c r="I25" s="5" t="s">
        <v>38</v>
      </c>
      <c r="J25" s="5" t="s">
        <v>76</v>
      </c>
      <c r="K25" s="5" t="s">
        <v>13</v>
      </c>
      <c r="L25" s="6"/>
      <c r="M25" s="8" t="s">
        <v>152</v>
      </c>
    </row>
    <row r="26" spans="1:13" ht="57" customHeight="1">
      <c r="A26" s="4" t="s">
        <v>153</v>
      </c>
      <c r="B26" s="5" t="s">
        <v>32</v>
      </c>
      <c r="C26" s="6" t="s">
        <v>154</v>
      </c>
      <c r="D26" s="5" t="s">
        <v>149</v>
      </c>
      <c r="E26" s="5" t="s">
        <v>155</v>
      </c>
      <c r="F26" s="6"/>
      <c r="G26" s="5" t="s">
        <v>4</v>
      </c>
      <c r="H26" s="7" t="s">
        <v>156</v>
      </c>
      <c r="I26" s="5" t="s">
        <v>38</v>
      </c>
      <c r="J26" s="5" t="s">
        <v>76</v>
      </c>
      <c r="K26" s="5" t="s">
        <v>13</v>
      </c>
      <c r="L26" s="6"/>
      <c r="M26" s="8" t="s">
        <v>157</v>
      </c>
    </row>
    <row r="27" spans="1:13" ht="57" customHeight="1">
      <c r="A27" s="4" t="s">
        <v>158</v>
      </c>
      <c r="B27" s="5" t="s">
        <v>32</v>
      </c>
      <c r="C27" s="6" t="s">
        <v>159</v>
      </c>
      <c r="D27" s="5" t="s">
        <v>160</v>
      </c>
      <c r="E27" s="5" t="s">
        <v>161</v>
      </c>
      <c r="F27" s="6"/>
      <c r="G27" s="5" t="s">
        <v>4</v>
      </c>
      <c r="H27" s="7" t="s">
        <v>162</v>
      </c>
      <c r="I27" s="5" t="s">
        <v>129</v>
      </c>
      <c r="J27" s="5" t="s">
        <v>55</v>
      </c>
      <c r="K27" s="5" t="s">
        <v>13</v>
      </c>
      <c r="L27" s="6"/>
      <c r="M27" s="8" t="s">
        <v>163</v>
      </c>
    </row>
    <row r="28" spans="1:13" ht="57" customHeight="1">
      <c r="A28" s="4" t="s">
        <v>164</v>
      </c>
      <c r="B28" s="5" t="s">
        <v>32</v>
      </c>
      <c r="C28" s="6" t="s">
        <v>165</v>
      </c>
      <c r="D28" s="5" t="s">
        <v>166</v>
      </c>
      <c r="E28" s="5" t="s">
        <v>167</v>
      </c>
      <c r="F28" s="6"/>
      <c r="G28" s="5" t="s">
        <v>4</v>
      </c>
      <c r="H28" s="7" t="s">
        <v>168</v>
      </c>
      <c r="I28" s="5" t="s">
        <v>38</v>
      </c>
      <c r="J28" s="5" t="s">
        <v>76</v>
      </c>
      <c r="K28" s="5" t="s">
        <v>13</v>
      </c>
      <c r="L28" s="6"/>
      <c r="M28" s="8" t="s">
        <v>169</v>
      </c>
    </row>
    <row r="29" spans="1:13" ht="57" customHeight="1">
      <c r="A29" s="4" t="s">
        <v>170</v>
      </c>
      <c r="B29" s="5" t="s">
        <v>32</v>
      </c>
      <c r="C29" s="6" t="s">
        <v>171</v>
      </c>
      <c r="D29" s="5" t="s">
        <v>172</v>
      </c>
      <c r="E29" s="5" t="s">
        <v>173</v>
      </c>
      <c r="F29" s="6"/>
      <c r="G29" s="5" t="s">
        <v>4</v>
      </c>
      <c r="H29" s="7" t="s">
        <v>174</v>
      </c>
      <c r="I29" s="5" t="s">
        <v>38</v>
      </c>
      <c r="J29" s="5" t="s">
        <v>76</v>
      </c>
      <c r="K29" s="5" t="s">
        <v>13</v>
      </c>
      <c r="L29" s="6"/>
      <c r="M29" s="8" t="s">
        <v>175</v>
      </c>
    </row>
    <row r="30" spans="1:13" ht="57" customHeight="1">
      <c r="A30" s="4" t="s">
        <v>176</v>
      </c>
      <c r="B30" s="5" t="s">
        <v>32</v>
      </c>
      <c r="C30" s="6" t="s">
        <v>177</v>
      </c>
      <c r="D30" s="5" t="s">
        <v>126</v>
      </c>
      <c r="E30" s="5" t="s">
        <v>178</v>
      </c>
      <c r="F30" s="6"/>
      <c r="G30" s="5" t="s">
        <v>4</v>
      </c>
      <c r="H30" s="7" t="s">
        <v>179</v>
      </c>
      <c r="I30" s="5" t="s">
        <v>38</v>
      </c>
      <c r="J30" s="5" t="s">
        <v>39</v>
      </c>
      <c r="K30" s="5" t="s">
        <v>13</v>
      </c>
      <c r="L30" s="6"/>
      <c r="M30" s="8" t="s">
        <v>180</v>
      </c>
    </row>
    <row r="31" spans="1:13" ht="57" customHeight="1">
      <c r="A31" s="4" t="s">
        <v>181</v>
      </c>
      <c r="B31" s="5" t="s">
        <v>32</v>
      </c>
      <c r="C31" s="6" t="s">
        <v>182</v>
      </c>
      <c r="D31" s="5" t="s">
        <v>183</v>
      </c>
      <c r="E31" s="5" t="s">
        <v>184</v>
      </c>
      <c r="F31" s="6"/>
      <c r="G31" s="5" t="s">
        <v>4</v>
      </c>
      <c r="H31" s="7" t="s">
        <v>185</v>
      </c>
      <c r="I31" s="5" t="s">
        <v>129</v>
      </c>
      <c r="J31" s="5" t="s">
        <v>55</v>
      </c>
      <c r="K31" s="5" t="s">
        <v>13</v>
      </c>
      <c r="L31" s="6"/>
      <c r="M31" s="8" t="s">
        <v>186</v>
      </c>
    </row>
    <row r="32" spans="1:13" ht="57" customHeight="1">
      <c r="A32" s="4" t="s">
        <v>187</v>
      </c>
      <c r="B32" s="5" t="s">
        <v>32</v>
      </c>
      <c r="C32" s="6" t="s">
        <v>188</v>
      </c>
      <c r="D32" s="5" t="s">
        <v>80</v>
      </c>
      <c r="E32" s="5" t="s">
        <v>189</v>
      </c>
      <c r="F32" s="6"/>
      <c r="G32" s="5" t="s">
        <v>4</v>
      </c>
      <c r="H32" s="7" t="s">
        <v>190</v>
      </c>
      <c r="I32" s="5" t="s">
        <v>38</v>
      </c>
      <c r="J32" s="5" t="s">
        <v>83</v>
      </c>
      <c r="K32" s="5" t="s">
        <v>13</v>
      </c>
      <c r="L32" s="6"/>
      <c r="M32" s="8" t="s">
        <v>191</v>
      </c>
    </row>
    <row r="33" spans="1:15" ht="57" customHeight="1">
      <c r="A33" s="4" t="s">
        <v>192</v>
      </c>
      <c r="B33" s="5" t="s">
        <v>32</v>
      </c>
      <c r="C33" s="6" t="s">
        <v>193</v>
      </c>
      <c r="D33" s="5" t="s">
        <v>80</v>
      </c>
      <c r="E33" s="5" t="s">
        <v>194</v>
      </c>
      <c r="F33" s="6"/>
      <c r="G33" s="5" t="s">
        <v>4</v>
      </c>
      <c r="H33" s="7" t="s">
        <v>195</v>
      </c>
      <c r="I33" s="5" t="s">
        <v>38</v>
      </c>
      <c r="J33" s="5" t="s">
        <v>83</v>
      </c>
      <c r="K33" s="5" t="s">
        <v>13</v>
      </c>
      <c r="L33" s="6"/>
      <c r="M33" s="8" t="s">
        <v>196</v>
      </c>
    </row>
    <row r="34" spans="1:15" ht="57" customHeight="1">
      <c r="A34" s="4" t="s">
        <v>197</v>
      </c>
      <c r="B34" s="5" t="s">
        <v>198</v>
      </c>
      <c r="C34" s="6" t="s">
        <v>199</v>
      </c>
      <c r="D34" s="5" t="s">
        <v>34</v>
      </c>
      <c r="E34" s="5" t="s">
        <v>200</v>
      </c>
      <c r="F34" s="6" t="s">
        <v>201</v>
      </c>
      <c r="G34" s="5" t="s">
        <v>2</v>
      </c>
      <c r="H34" s="7" t="s">
        <v>202</v>
      </c>
      <c r="I34" s="5" t="s">
        <v>54</v>
      </c>
      <c r="J34" s="5" t="s">
        <v>55</v>
      </c>
      <c r="K34" s="5" t="s">
        <v>9</v>
      </c>
      <c r="L34" s="6"/>
      <c r="M34" s="8" t="s">
        <v>203</v>
      </c>
    </row>
    <row r="35" spans="1:15" ht="57" customHeight="1">
      <c r="A35" s="4" t="s">
        <v>204</v>
      </c>
      <c r="B35" s="5" t="s">
        <v>198</v>
      </c>
      <c r="C35" s="6" t="s">
        <v>205</v>
      </c>
      <c r="D35" s="5" t="s">
        <v>34</v>
      </c>
      <c r="E35" s="5" t="s">
        <v>206</v>
      </c>
      <c r="F35" s="6" t="s">
        <v>207</v>
      </c>
      <c r="G35" s="5" t="s">
        <v>2</v>
      </c>
      <c r="H35" s="7" t="s">
        <v>208</v>
      </c>
      <c r="I35" s="5" t="s">
        <v>54</v>
      </c>
      <c r="J35" s="5" t="s">
        <v>55</v>
      </c>
      <c r="K35" s="5" t="s">
        <v>9</v>
      </c>
      <c r="L35" s="6"/>
      <c r="M35" s="8" t="s">
        <v>209</v>
      </c>
    </row>
    <row r="36" spans="1:15" ht="57" customHeight="1">
      <c r="A36" s="4" t="s">
        <v>210</v>
      </c>
      <c r="B36" s="5" t="s">
        <v>198</v>
      </c>
      <c r="C36" s="6" t="s">
        <v>211</v>
      </c>
      <c r="D36" s="5" t="s">
        <v>212</v>
      </c>
      <c r="E36" s="5" t="s">
        <v>213</v>
      </c>
      <c r="F36" s="6" t="s">
        <v>214</v>
      </c>
      <c r="G36" s="5" t="s">
        <v>2</v>
      </c>
      <c r="H36" s="7" t="s">
        <v>215</v>
      </c>
      <c r="I36" s="5" t="s">
        <v>216</v>
      </c>
      <c r="J36" s="5" t="s">
        <v>55</v>
      </c>
      <c r="K36" s="5" t="s">
        <v>9</v>
      </c>
      <c r="L36" s="6"/>
      <c r="M36" s="8" t="s">
        <v>217</v>
      </c>
    </row>
    <row r="37" spans="1:15" ht="57" customHeight="1">
      <c r="A37" s="9" t="s">
        <v>218</v>
      </c>
      <c r="B37" s="10" t="s">
        <v>198</v>
      </c>
      <c r="C37" s="13" t="s">
        <v>219</v>
      </c>
      <c r="D37" s="10" t="s">
        <v>220</v>
      </c>
      <c r="E37" s="10" t="s">
        <v>221</v>
      </c>
      <c r="F37" s="13" t="s">
        <v>222</v>
      </c>
      <c r="G37" s="10" t="s">
        <v>2</v>
      </c>
      <c r="H37" s="11" t="s">
        <v>223</v>
      </c>
      <c r="I37" s="10" t="s">
        <v>38</v>
      </c>
      <c r="J37" s="10" t="s">
        <v>55</v>
      </c>
      <c r="K37" s="10" t="s">
        <v>9</v>
      </c>
      <c r="L37" s="13"/>
      <c r="M37" s="12" t="s">
        <v>224</v>
      </c>
    </row>
    <row r="38" spans="1:15" ht="57" customHeight="1">
      <c r="A38" s="23" t="s">
        <v>286</v>
      </c>
      <c r="B38" s="23" t="s">
        <v>287</v>
      </c>
      <c r="C38" s="23" t="s">
        <v>288</v>
      </c>
      <c r="D38" s="23" t="s">
        <v>289</v>
      </c>
      <c r="E38" s="23" t="s">
        <v>290</v>
      </c>
      <c r="F38" s="23" t="s">
        <v>418</v>
      </c>
      <c r="G38" s="23" t="s">
        <v>2</v>
      </c>
      <c r="H38" s="25" t="s">
        <v>414</v>
      </c>
      <c r="I38" s="23" t="s">
        <v>291</v>
      </c>
      <c r="J38" s="23" t="s">
        <v>55</v>
      </c>
      <c r="K38" s="23" t="s">
        <v>13</v>
      </c>
      <c r="L38" s="24"/>
      <c r="M38" s="23" t="s">
        <v>292</v>
      </c>
      <c r="N38" s="26"/>
      <c r="O38" s="26"/>
    </row>
    <row r="39" spans="1:15" ht="57" customHeight="1">
      <c r="A39" s="23" t="s">
        <v>293</v>
      </c>
      <c r="B39" s="23" t="s">
        <v>287</v>
      </c>
      <c r="C39" s="23" t="s">
        <v>294</v>
      </c>
      <c r="D39" s="23" t="s">
        <v>289</v>
      </c>
      <c r="E39" s="23" t="s">
        <v>295</v>
      </c>
      <c r="F39" s="23" t="s">
        <v>424</v>
      </c>
      <c r="G39" s="23" t="s">
        <v>2</v>
      </c>
      <c r="H39" s="24" t="s">
        <v>296</v>
      </c>
      <c r="I39" s="23" t="s">
        <v>297</v>
      </c>
      <c r="J39" s="23" t="s">
        <v>76</v>
      </c>
      <c r="K39" s="23" t="s">
        <v>13</v>
      </c>
      <c r="L39" s="24"/>
      <c r="M39" s="23" t="s">
        <v>298</v>
      </c>
      <c r="N39" s="26"/>
      <c r="O39" s="26"/>
    </row>
    <row r="40" spans="1:15" ht="57" customHeight="1">
      <c r="A40" s="23" t="s">
        <v>299</v>
      </c>
      <c r="B40" s="23" t="s">
        <v>287</v>
      </c>
      <c r="C40" s="23" t="s">
        <v>300</v>
      </c>
      <c r="D40" s="23" t="s">
        <v>301</v>
      </c>
      <c r="E40" s="23" t="s">
        <v>302</v>
      </c>
      <c r="F40" s="23" t="s">
        <v>419</v>
      </c>
      <c r="G40" s="23" t="s">
        <v>2</v>
      </c>
      <c r="H40" s="25" t="s">
        <v>414</v>
      </c>
      <c r="I40" s="23" t="s">
        <v>291</v>
      </c>
      <c r="J40" s="23" t="s">
        <v>55</v>
      </c>
      <c r="K40" s="23" t="s">
        <v>13</v>
      </c>
      <c r="L40" s="24"/>
      <c r="M40" s="23" t="s">
        <v>303</v>
      </c>
      <c r="N40" s="26"/>
      <c r="O40" s="26"/>
    </row>
    <row r="41" spans="1:15" ht="57" customHeight="1">
      <c r="A41" s="23" t="s">
        <v>304</v>
      </c>
      <c r="B41" s="23" t="s">
        <v>287</v>
      </c>
      <c r="C41" s="23" t="s">
        <v>305</v>
      </c>
      <c r="D41" s="23" t="s">
        <v>301</v>
      </c>
      <c r="E41" s="23" t="s">
        <v>306</v>
      </c>
      <c r="F41" s="23" t="s">
        <v>425</v>
      </c>
      <c r="G41" s="23" t="s">
        <v>2</v>
      </c>
      <c r="H41" s="24" t="s">
        <v>296</v>
      </c>
      <c r="I41" s="23" t="s">
        <v>297</v>
      </c>
      <c r="J41" s="23" t="s">
        <v>76</v>
      </c>
      <c r="K41" s="23" t="s">
        <v>13</v>
      </c>
      <c r="L41" s="24"/>
      <c r="M41" s="23" t="s">
        <v>307</v>
      </c>
      <c r="N41" s="26"/>
      <c r="O41" s="26"/>
    </row>
    <row r="42" spans="1:15" ht="57" customHeight="1">
      <c r="A42" s="23" t="s">
        <v>308</v>
      </c>
      <c r="B42" s="23" t="s">
        <v>287</v>
      </c>
      <c r="C42" s="23" t="s">
        <v>309</v>
      </c>
      <c r="D42" s="23" t="s">
        <v>310</v>
      </c>
      <c r="E42" s="23" t="s">
        <v>311</v>
      </c>
      <c r="F42" s="23" t="s">
        <v>420</v>
      </c>
      <c r="G42" s="23" t="s">
        <v>2</v>
      </c>
      <c r="H42" s="24" t="s">
        <v>312</v>
      </c>
      <c r="I42" s="23" t="s">
        <v>291</v>
      </c>
      <c r="J42" s="23" t="s">
        <v>55</v>
      </c>
      <c r="K42" s="23" t="s">
        <v>13</v>
      </c>
      <c r="L42" s="24"/>
      <c r="M42" s="23" t="s">
        <v>313</v>
      </c>
      <c r="N42" s="26"/>
      <c r="O42" s="26"/>
    </row>
    <row r="43" spans="1:15" ht="57" customHeight="1">
      <c r="A43" s="23" t="s">
        <v>314</v>
      </c>
      <c r="B43" s="23" t="s">
        <v>287</v>
      </c>
      <c r="C43" s="23" t="s">
        <v>315</v>
      </c>
      <c r="D43" s="23" t="s">
        <v>310</v>
      </c>
      <c r="E43" s="27" t="s">
        <v>411</v>
      </c>
      <c r="F43" s="23" t="s">
        <v>421</v>
      </c>
      <c r="G43" s="23" t="s">
        <v>2</v>
      </c>
      <c r="H43" s="25" t="s">
        <v>413</v>
      </c>
      <c r="I43" s="23" t="s">
        <v>297</v>
      </c>
      <c r="J43" s="23" t="s">
        <v>55</v>
      </c>
      <c r="K43" s="23" t="s">
        <v>13</v>
      </c>
      <c r="L43" s="24"/>
      <c r="M43" s="27" t="s">
        <v>415</v>
      </c>
      <c r="N43" s="26"/>
      <c r="O43" s="26"/>
    </row>
    <row r="44" spans="1:15" ht="57" customHeight="1">
      <c r="A44" s="23" t="s">
        <v>316</v>
      </c>
      <c r="B44" s="23" t="s">
        <v>287</v>
      </c>
      <c r="C44" s="23" t="s">
        <v>317</v>
      </c>
      <c r="D44" s="23" t="s">
        <v>318</v>
      </c>
      <c r="E44" s="23" t="s">
        <v>319</v>
      </c>
      <c r="F44" s="23" t="s">
        <v>422</v>
      </c>
      <c r="G44" s="23" t="s">
        <v>2</v>
      </c>
      <c r="H44" s="24" t="s">
        <v>320</v>
      </c>
      <c r="I44" s="23" t="s">
        <v>291</v>
      </c>
      <c r="J44" s="23" t="s">
        <v>39</v>
      </c>
      <c r="K44" s="23" t="s">
        <v>13</v>
      </c>
      <c r="L44" s="24"/>
      <c r="M44" s="23" t="s">
        <v>321</v>
      </c>
      <c r="N44" s="26"/>
      <c r="O44" s="26"/>
    </row>
    <row r="45" spans="1:15" ht="57" customHeight="1">
      <c r="A45" s="23" t="s">
        <v>322</v>
      </c>
      <c r="B45" s="23" t="s">
        <v>287</v>
      </c>
      <c r="C45" s="23" t="s">
        <v>323</v>
      </c>
      <c r="D45" s="23" t="s">
        <v>318</v>
      </c>
      <c r="E45" s="23" t="s">
        <v>324</v>
      </c>
      <c r="F45" s="23" t="s">
        <v>423</v>
      </c>
      <c r="G45" s="23" t="s">
        <v>2</v>
      </c>
      <c r="H45" s="24" t="s">
        <v>325</v>
      </c>
      <c r="I45" s="23" t="s">
        <v>297</v>
      </c>
      <c r="J45" s="23" t="s">
        <v>55</v>
      </c>
      <c r="K45" s="23" t="s">
        <v>13</v>
      </c>
      <c r="L45" s="24"/>
      <c r="M45" s="23" t="s">
        <v>326</v>
      </c>
      <c r="N45" s="26"/>
      <c r="O45" s="26"/>
    </row>
    <row r="46" spans="1:15" ht="57" customHeight="1">
      <c r="A46" s="23" t="s">
        <v>327</v>
      </c>
      <c r="B46" s="23" t="s">
        <v>287</v>
      </c>
      <c r="C46" s="23" t="s">
        <v>328</v>
      </c>
      <c r="D46" s="23" t="s">
        <v>318</v>
      </c>
      <c r="E46" s="23" t="s">
        <v>329</v>
      </c>
      <c r="F46" s="23" t="s">
        <v>427</v>
      </c>
      <c r="G46" s="23" t="s">
        <v>2</v>
      </c>
      <c r="H46" s="25" t="s">
        <v>412</v>
      </c>
      <c r="I46" s="23" t="s">
        <v>297</v>
      </c>
      <c r="J46" s="23" t="s">
        <v>76</v>
      </c>
      <c r="K46" s="23" t="s">
        <v>13</v>
      </c>
      <c r="L46" s="24"/>
      <c r="M46" s="23" t="s">
        <v>330</v>
      </c>
      <c r="N46" s="26"/>
      <c r="O46" s="26"/>
    </row>
    <row r="47" spans="1:15" ht="57" customHeight="1">
      <c r="A47" s="23" t="s">
        <v>331</v>
      </c>
      <c r="B47" s="23" t="s">
        <v>287</v>
      </c>
      <c r="C47" s="23" t="s">
        <v>332</v>
      </c>
      <c r="D47" s="23" t="s">
        <v>318</v>
      </c>
      <c r="E47" s="23" t="s">
        <v>333</v>
      </c>
      <c r="F47" s="23" t="s">
        <v>426</v>
      </c>
      <c r="G47" s="23" t="s">
        <v>2</v>
      </c>
      <c r="H47" s="24" t="s">
        <v>334</v>
      </c>
      <c r="I47" s="23" t="s">
        <v>297</v>
      </c>
      <c r="J47" s="23" t="s">
        <v>55</v>
      </c>
      <c r="K47" s="23" t="s">
        <v>13</v>
      </c>
      <c r="L47" s="24"/>
      <c r="M47" s="23" t="s">
        <v>335</v>
      </c>
      <c r="N47" s="26"/>
      <c r="O47" s="26"/>
    </row>
    <row r="48" spans="1:15" ht="57" customHeight="1">
      <c r="A48" s="23" t="s">
        <v>336</v>
      </c>
      <c r="B48" s="23" t="s">
        <v>287</v>
      </c>
      <c r="C48" s="23" t="s">
        <v>337</v>
      </c>
      <c r="D48" s="23" t="s">
        <v>338</v>
      </c>
      <c r="E48" s="23" t="s">
        <v>339</v>
      </c>
      <c r="F48" s="23" t="s">
        <v>428</v>
      </c>
      <c r="G48" s="23" t="s">
        <v>2</v>
      </c>
      <c r="H48" s="24" t="s">
        <v>340</v>
      </c>
      <c r="I48" s="23" t="s">
        <v>291</v>
      </c>
      <c r="J48" s="23" t="s">
        <v>39</v>
      </c>
      <c r="K48" s="23" t="s">
        <v>13</v>
      </c>
      <c r="L48" s="24"/>
      <c r="M48" s="23" t="s">
        <v>341</v>
      </c>
      <c r="N48" s="26"/>
      <c r="O48" s="26"/>
    </row>
    <row r="49" spans="1:15" ht="57" customHeight="1">
      <c r="A49" s="23" t="s">
        <v>342</v>
      </c>
      <c r="B49" s="23" t="s">
        <v>287</v>
      </c>
      <c r="C49" s="23" t="s">
        <v>343</v>
      </c>
      <c r="D49" s="23" t="s">
        <v>338</v>
      </c>
      <c r="E49" s="23" t="s">
        <v>344</v>
      </c>
      <c r="F49" s="23" t="s">
        <v>429</v>
      </c>
      <c r="G49" s="23" t="s">
        <v>2</v>
      </c>
      <c r="H49" s="24" t="s">
        <v>345</v>
      </c>
      <c r="I49" s="23" t="s">
        <v>291</v>
      </c>
      <c r="J49" s="23" t="s">
        <v>39</v>
      </c>
      <c r="K49" s="23" t="s">
        <v>13</v>
      </c>
      <c r="L49" s="24"/>
      <c r="M49" s="23" t="s">
        <v>346</v>
      </c>
      <c r="N49" s="26"/>
      <c r="O49" s="26"/>
    </row>
    <row r="50" spans="1:15" ht="57" customHeight="1">
      <c r="A50" s="23" t="s">
        <v>347</v>
      </c>
      <c r="B50" s="23" t="s">
        <v>287</v>
      </c>
      <c r="C50" s="23" t="s">
        <v>348</v>
      </c>
      <c r="D50" s="23" t="s">
        <v>338</v>
      </c>
      <c r="E50" s="23" t="s">
        <v>349</v>
      </c>
      <c r="F50" s="23" t="s">
        <v>430</v>
      </c>
      <c r="G50" s="23" t="s">
        <v>2</v>
      </c>
      <c r="H50" s="24" t="s">
        <v>350</v>
      </c>
      <c r="I50" s="23" t="s">
        <v>291</v>
      </c>
      <c r="J50" s="23" t="s">
        <v>55</v>
      </c>
      <c r="K50" s="23" t="s">
        <v>13</v>
      </c>
      <c r="L50" s="24"/>
      <c r="M50" s="23" t="s">
        <v>351</v>
      </c>
      <c r="N50" s="26"/>
      <c r="O50" s="26"/>
    </row>
    <row r="51" spans="1:15" ht="57" customHeight="1">
      <c r="A51" s="23" t="s">
        <v>352</v>
      </c>
      <c r="B51" s="23" t="s">
        <v>287</v>
      </c>
      <c r="C51" s="23" t="s">
        <v>353</v>
      </c>
      <c r="D51" s="23" t="s">
        <v>338</v>
      </c>
      <c r="E51" s="23" t="s">
        <v>354</v>
      </c>
      <c r="F51" s="23" t="s">
        <v>431</v>
      </c>
      <c r="G51" s="23" t="s">
        <v>2</v>
      </c>
      <c r="H51" s="24" t="s">
        <v>355</v>
      </c>
      <c r="I51" s="23" t="s">
        <v>291</v>
      </c>
      <c r="J51" s="23" t="s">
        <v>55</v>
      </c>
      <c r="K51" s="23" t="s">
        <v>13</v>
      </c>
      <c r="L51" s="24"/>
      <c r="M51" s="23" t="s">
        <v>356</v>
      </c>
      <c r="N51" s="26"/>
      <c r="O51" s="26"/>
    </row>
    <row r="52" spans="1:15" ht="57" customHeight="1">
      <c r="F52" s="21"/>
      <c r="G52" s="21"/>
      <c r="H52" s="21"/>
      <c r="I52" s="22"/>
      <c r="J52" s="22"/>
      <c r="K52" s="22"/>
      <c r="L52" s="21"/>
      <c r="M52" s="21"/>
    </row>
    <row r="53" spans="1:15" ht="57" customHeight="1">
      <c r="F53" s="21"/>
      <c r="G53" s="21"/>
      <c r="H53" s="21"/>
      <c r="I53" s="21"/>
      <c r="J53" s="21"/>
      <c r="K53" s="21"/>
      <c r="L53" s="21"/>
      <c r="M53" s="21"/>
    </row>
  </sheetData>
  <mergeCells count="3">
    <mergeCell ref="A1:M1"/>
    <mergeCell ref="A2:M2"/>
    <mergeCell ref="A4:M5"/>
  </mergeCells>
  <phoneticPr fontId="11" type="noConversion"/>
  <conditionalFormatting sqref="G8:G107">
    <cfRule type="containsText" dxfId="5" priority="1" operator="containsText" text="Fully Covered"/>
    <cfRule type="containsText" dxfId="4" priority="2" operator="containsText" text="Partially Covered"/>
    <cfRule type="containsText" dxfId="3" priority="3" operator="containsText" text="Not Covered"/>
  </conditionalFormatting>
  <conditionalFormatting sqref="K8:K107">
    <cfRule type="containsText" dxfId="2" priority="4" operator="containsText" text="Pass"/>
    <cfRule type="containsText" dxfId="1" priority="5" operator="containsText" text="Fail"/>
    <cfRule type="containsText" dxfId="0" priority="6" operator="containsText" text="Not Run"/>
  </conditionalFormatting>
  <dataValidations count="5">
    <dataValidation type="list" sqref="G8:G107" xr:uid="{00000000-0002-0000-0100-000000000000}">
      <formula1>"Fully Covered,Partially Covered,Not Covered"</formula1>
    </dataValidation>
    <dataValidation type="list" sqref="J8:J107" xr:uid="{00000000-0002-0000-0100-000001000000}">
      <formula1>"Critical,High,Medium,Low"</formula1>
    </dataValidation>
    <dataValidation type="list" sqref="K8:K107" xr:uid="{00000000-0002-0000-0100-000002000000}">
      <formula1>"Pass,Fail,Blocked,Not Run"</formula1>
    </dataValidation>
    <dataValidation type="list" sqref="B8:B107" xr:uid="{00000000-0002-0000-0100-000003000000}">
      <formula1>"Site Scenario,Site API Scenario,Tester-Derived"</formula1>
    </dataValidation>
    <dataValidation type="list" sqref="I8:I107" xr:uid="{00000000-0002-0000-0100-000004000000}">
      <formula1>"Functional — Positive,Functional — Negative,Security — Negative,End-to-End — Positive,API — Positive,API — Negative"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showGridLines="0" topLeftCell="A9" workbookViewId="0">
      <selection sqref="A1:D1"/>
    </sheetView>
  </sheetViews>
  <sheetFormatPr defaultRowHeight="14"/>
  <cols>
    <col min="1" max="1" width="20" customWidth="1"/>
    <col min="2" max="2" width="52" customWidth="1"/>
    <col min="3" max="3" width="14" customWidth="1"/>
    <col min="4" max="4" width="90" customWidth="1"/>
  </cols>
  <sheetData>
    <row r="1" spans="1:4" ht="36" customHeight="1">
      <c r="A1" s="40" t="s">
        <v>225</v>
      </c>
      <c r="B1" s="40"/>
      <c r="C1" s="40"/>
      <c r="D1" s="40"/>
    </row>
    <row r="2" spans="1:4" ht="24" customHeight="1">
      <c r="A2" s="41" t="s">
        <v>226</v>
      </c>
      <c r="B2" s="41"/>
      <c r="C2" s="41"/>
      <c r="D2" s="41"/>
    </row>
    <row r="4" spans="1:4" ht="38" customHeight="1">
      <c r="A4" s="1" t="s">
        <v>21</v>
      </c>
      <c r="B4" s="2" t="s">
        <v>227</v>
      </c>
      <c r="C4" s="2" t="s">
        <v>228</v>
      </c>
      <c r="D4" s="3" t="s">
        <v>229</v>
      </c>
    </row>
    <row r="5" spans="1:4" ht="264.5" customHeight="1">
      <c r="A5" s="4" t="s">
        <v>33</v>
      </c>
      <c r="B5" s="5" t="s">
        <v>230</v>
      </c>
      <c r="C5" s="5">
        <v>18</v>
      </c>
      <c r="D5" s="14" t="s">
        <v>231</v>
      </c>
    </row>
    <row r="6" spans="1:4" ht="264.5" customHeight="1">
      <c r="A6" s="4" t="s">
        <v>42</v>
      </c>
      <c r="B6" s="5" t="s">
        <v>232</v>
      </c>
      <c r="C6" s="5">
        <v>10</v>
      </c>
      <c r="D6" s="14" t="s">
        <v>233</v>
      </c>
    </row>
    <row r="7" spans="1:4" ht="264.5" customHeight="1">
      <c r="A7" s="4" t="s">
        <v>49</v>
      </c>
      <c r="B7" s="5" t="s">
        <v>234</v>
      </c>
      <c r="C7" s="5">
        <v>8</v>
      </c>
      <c r="D7" s="14" t="s">
        <v>235</v>
      </c>
    </row>
    <row r="8" spans="1:4" ht="264.5" customHeight="1">
      <c r="A8" s="4" t="s">
        <v>58</v>
      </c>
      <c r="B8" s="5" t="s">
        <v>236</v>
      </c>
      <c r="C8" s="5">
        <v>10</v>
      </c>
      <c r="D8" s="14" t="s">
        <v>237</v>
      </c>
    </row>
    <row r="9" spans="1:4" ht="264.5" customHeight="1">
      <c r="A9" s="4" t="s">
        <v>66</v>
      </c>
      <c r="B9" s="5" t="s">
        <v>238</v>
      </c>
      <c r="C9" s="5">
        <v>8</v>
      </c>
      <c r="D9" s="14" t="s">
        <v>239</v>
      </c>
    </row>
    <row r="10" spans="1:4" ht="264.5" customHeight="1">
      <c r="A10" s="4" t="s">
        <v>72</v>
      </c>
      <c r="B10" s="5" t="s">
        <v>240</v>
      </c>
      <c r="C10" s="5">
        <v>11</v>
      </c>
      <c r="D10" s="14" t="s">
        <v>241</v>
      </c>
    </row>
    <row r="11" spans="1:4" ht="264.5" customHeight="1">
      <c r="A11" s="4" t="s">
        <v>79</v>
      </c>
      <c r="B11" s="5" t="s">
        <v>242</v>
      </c>
      <c r="C11" s="5">
        <v>5</v>
      </c>
      <c r="D11" s="14" t="s">
        <v>243</v>
      </c>
    </row>
    <row r="12" spans="1:4" ht="264.5" customHeight="1">
      <c r="A12" s="4" t="s">
        <v>86</v>
      </c>
      <c r="B12" s="5" t="s">
        <v>244</v>
      </c>
      <c r="C12" s="5">
        <v>9</v>
      </c>
      <c r="D12" s="14" t="s">
        <v>245</v>
      </c>
    </row>
    <row r="13" spans="1:4" ht="264.5" customHeight="1">
      <c r="A13" s="4" t="s">
        <v>93</v>
      </c>
      <c r="B13" s="5" t="s">
        <v>246</v>
      </c>
      <c r="C13" s="5">
        <v>8</v>
      </c>
      <c r="D13" s="14" t="s">
        <v>247</v>
      </c>
    </row>
    <row r="14" spans="1:4" ht="264.5" customHeight="1">
      <c r="A14" s="4" t="s">
        <v>99</v>
      </c>
      <c r="B14" s="5" t="s">
        <v>248</v>
      </c>
      <c r="C14" s="5">
        <v>7</v>
      </c>
      <c r="D14" s="14" t="s">
        <v>249</v>
      </c>
    </row>
    <row r="15" spans="1:4" ht="264.5" customHeight="1">
      <c r="A15" s="4" t="s">
        <v>105</v>
      </c>
      <c r="B15" s="5" t="s">
        <v>250</v>
      </c>
      <c r="C15" s="5">
        <v>8</v>
      </c>
      <c r="D15" s="14" t="s">
        <v>251</v>
      </c>
    </row>
    <row r="16" spans="1:4" ht="264.5" customHeight="1">
      <c r="A16" s="4" t="s">
        <v>110</v>
      </c>
      <c r="B16" s="5" t="s">
        <v>252</v>
      </c>
      <c r="C16" s="5">
        <v>10</v>
      </c>
      <c r="D16" s="14" t="s">
        <v>253</v>
      </c>
    </row>
    <row r="17" spans="1:4" ht="264.5" customHeight="1">
      <c r="A17" s="4" t="s">
        <v>118</v>
      </c>
      <c r="B17" s="5" t="s">
        <v>254</v>
      </c>
      <c r="C17" s="5">
        <v>9</v>
      </c>
      <c r="D17" s="14" t="s">
        <v>255</v>
      </c>
    </row>
    <row r="18" spans="1:4" ht="264.5" customHeight="1">
      <c r="A18" s="4" t="s">
        <v>125</v>
      </c>
      <c r="B18" s="5" t="s">
        <v>256</v>
      </c>
      <c r="C18" s="5">
        <v>20</v>
      </c>
      <c r="D18" s="14" t="s">
        <v>257</v>
      </c>
    </row>
    <row r="19" spans="1:4" ht="264.5" customHeight="1">
      <c r="A19" s="4" t="s">
        <v>132</v>
      </c>
      <c r="B19" s="5" t="s">
        <v>258</v>
      </c>
      <c r="C19" s="5">
        <v>18</v>
      </c>
      <c r="D19" s="14" t="s">
        <v>259</v>
      </c>
    </row>
    <row r="20" spans="1:4" ht="264.5" customHeight="1">
      <c r="A20" s="4" t="s">
        <v>137</v>
      </c>
      <c r="B20" s="5" t="s">
        <v>260</v>
      </c>
      <c r="C20" s="5">
        <v>17</v>
      </c>
      <c r="D20" s="14" t="s">
        <v>261</v>
      </c>
    </row>
    <row r="21" spans="1:4" ht="264.5" customHeight="1">
      <c r="A21" s="4" t="s">
        <v>142</v>
      </c>
      <c r="B21" s="5" t="s">
        <v>262</v>
      </c>
      <c r="C21" s="5">
        <v>8</v>
      </c>
      <c r="D21" s="14" t="s">
        <v>263</v>
      </c>
    </row>
    <row r="22" spans="1:4" ht="264.5" customHeight="1">
      <c r="A22" s="4" t="s">
        <v>148</v>
      </c>
      <c r="B22" s="5" t="s">
        <v>264</v>
      </c>
      <c r="C22" s="5">
        <v>8</v>
      </c>
      <c r="D22" s="14" t="s">
        <v>265</v>
      </c>
    </row>
    <row r="23" spans="1:4" ht="264.5" customHeight="1">
      <c r="A23" s="4" t="s">
        <v>154</v>
      </c>
      <c r="B23" s="5" t="s">
        <v>266</v>
      </c>
      <c r="C23" s="5">
        <v>8</v>
      </c>
      <c r="D23" s="14" t="s">
        <v>267</v>
      </c>
    </row>
    <row r="24" spans="1:4" ht="264.5" customHeight="1">
      <c r="A24" s="4" t="s">
        <v>159</v>
      </c>
      <c r="B24" s="5" t="s">
        <v>268</v>
      </c>
      <c r="C24" s="5">
        <v>12</v>
      </c>
      <c r="D24" s="14" t="s">
        <v>269</v>
      </c>
    </row>
    <row r="25" spans="1:4" ht="264.5" customHeight="1">
      <c r="A25" s="4" t="s">
        <v>165</v>
      </c>
      <c r="B25" s="5" t="s">
        <v>270</v>
      </c>
      <c r="C25" s="5">
        <v>9</v>
      </c>
      <c r="D25" s="14" t="s">
        <v>271</v>
      </c>
    </row>
    <row r="26" spans="1:4" ht="264.5" customHeight="1">
      <c r="A26" s="4" t="s">
        <v>171</v>
      </c>
      <c r="B26" s="5" t="s">
        <v>272</v>
      </c>
      <c r="C26" s="5">
        <v>7</v>
      </c>
      <c r="D26" s="14" t="s">
        <v>273</v>
      </c>
    </row>
    <row r="27" spans="1:4" ht="264.5" customHeight="1">
      <c r="A27" s="4" t="s">
        <v>177</v>
      </c>
      <c r="B27" s="5" t="s">
        <v>274</v>
      </c>
      <c r="C27" s="5">
        <v>15</v>
      </c>
      <c r="D27" s="14" t="s">
        <v>275</v>
      </c>
    </row>
    <row r="28" spans="1:4" ht="264.5" customHeight="1">
      <c r="A28" s="4" t="s">
        <v>182</v>
      </c>
      <c r="B28" s="5" t="s">
        <v>276</v>
      </c>
      <c r="C28" s="5">
        <v>22</v>
      </c>
      <c r="D28" s="14" t="s">
        <v>277</v>
      </c>
    </row>
    <row r="29" spans="1:4" ht="264.5" customHeight="1">
      <c r="A29" s="4" t="s">
        <v>188</v>
      </c>
      <c r="B29" s="5" t="s">
        <v>278</v>
      </c>
      <c r="C29" s="5">
        <v>7</v>
      </c>
      <c r="D29" s="14" t="s">
        <v>279</v>
      </c>
    </row>
    <row r="30" spans="1:4" ht="264.5" customHeight="1">
      <c r="A30" s="9" t="s">
        <v>193</v>
      </c>
      <c r="B30" s="10" t="s">
        <v>280</v>
      </c>
      <c r="C30" s="10">
        <v>7</v>
      </c>
      <c r="D30" s="15" t="s">
        <v>281</v>
      </c>
    </row>
  </sheetData>
  <mergeCells count="2">
    <mergeCell ref="A1:D1"/>
    <mergeCell ref="A2:D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
  <sheetViews>
    <sheetView showGridLines="0" zoomScale="55" zoomScaleNormal="55" workbookViewId="0">
      <selection activeCell="J17" sqref="J16:J17"/>
    </sheetView>
  </sheetViews>
  <sheetFormatPr defaultRowHeight="14"/>
  <cols>
    <col min="1" max="1" width="18" customWidth="1"/>
    <col min="2" max="2" width="48" customWidth="1"/>
    <col min="3" max="3" width="52" customWidth="1"/>
    <col min="4" max="4" width="18" customWidth="1"/>
    <col min="5" max="5" width="58" customWidth="1"/>
    <col min="6" max="6" width="16" customWidth="1"/>
    <col min="7" max="7" width="20" customWidth="1"/>
    <col min="8" max="8" width="48" customWidth="1"/>
  </cols>
  <sheetData>
    <row r="1" spans="1:8" ht="36" customHeight="1">
      <c r="A1" s="28" t="s">
        <v>357</v>
      </c>
      <c r="B1" s="28"/>
      <c r="C1" s="28"/>
      <c r="D1" s="28"/>
      <c r="E1" s="28"/>
      <c r="F1" s="28"/>
      <c r="G1" s="28"/>
      <c r="H1" s="28"/>
    </row>
    <row r="2" spans="1:8" ht="24" customHeight="1">
      <c r="A2" s="29" t="s">
        <v>416</v>
      </c>
      <c r="B2" s="29"/>
      <c r="C2" s="29"/>
      <c r="D2" s="29"/>
      <c r="E2" s="29"/>
      <c r="F2" s="29"/>
      <c r="G2" s="29"/>
      <c r="H2" s="29"/>
    </row>
    <row r="4" spans="1:8" ht="42" customHeight="1">
      <c r="A4" s="16" t="s">
        <v>358</v>
      </c>
      <c r="B4" s="16" t="s">
        <v>227</v>
      </c>
      <c r="C4" s="16" t="s">
        <v>359</v>
      </c>
      <c r="D4" s="16" t="s">
        <v>360</v>
      </c>
      <c r="E4" s="16" t="s">
        <v>361</v>
      </c>
      <c r="F4" s="16" t="s">
        <v>362</v>
      </c>
      <c r="G4" s="16" t="s">
        <v>363</v>
      </c>
      <c r="H4" s="16" t="s">
        <v>364</v>
      </c>
    </row>
    <row r="5" spans="1:8" ht="72" customHeight="1">
      <c r="A5" s="5" t="s">
        <v>288</v>
      </c>
      <c r="B5" s="5" t="s">
        <v>365</v>
      </c>
      <c r="C5" s="5" t="s">
        <v>366</v>
      </c>
      <c r="D5" s="5" t="s">
        <v>367</v>
      </c>
      <c r="E5" s="5"/>
      <c r="F5" s="5">
        <v>200</v>
      </c>
      <c r="G5" s="5" t="s">
        <v>368</v>
      </c>
      <c r="H5" s="5" t="s">
        <v>369</v>
      </c>
    </row>
    <row r="6" spans="1:8" ht="72" customHeight="1">
      <c r="A6" s="5" t="s">
        <v>294</v>
      </c>
      <c r="B6" s="5" t="s">
        <v>370</v>
      </c>
      <c r="C6" s="5" t="s">
        <v>366</v>
      </c>
      <c r="D6" s="5" t="s">
        <v>371</v>
      </c>
      <c r="E6" s="5"/>
      <c r="F6" s="5">
        <v>405</v>
      </c>
      <c r="G6" s="5" t="s">
        <v>372</v>
      </c>
      <c r="H6" s="5" t="s">
        <v>373</v>
      </c>
    </row>
    <row r="7" spans="1:8" ht="72" customHeight="1">
      <c r="A7" s="5" t="s">
        <v>300</v>
      </c>
      <c r="B7" s="5" t="s">
        <v>374</v>
      </c>
      <c r="C7" s="5" t="s">
        <v>375</v>
      </c>
      <c r="D7" s="5" t="s">
        <v>367</v>
      </c>
      <c r="E7" s="5"/>
      <c r="F7" s="5">
        <v>200</v>
      </c>
      <c r="G7" s="5" t="s">
        <v>368</v>
      </c>
      <c r="H7" s="5" t="s">
        <v>376</v>
      </c>
    </row>
    <row r="8" spans="1:8" ht="72" customHeight="1">
      <c r="A8" s="5" t="s">
        <v>305</v>
      </c>
      <c r="B8" s="5" t="s">
        <v>377</v>
      </c>
      <c r="C8" s="5" t="s">
        <v>375</v>
      </c>
      <c r="D8" s="5" t="s">
        <v>378</v>
      </c>
      <c r="E8" s="5"/>
      <c r="F8" s="5">
        <v>405</v>
      </c>
      <c r="G8" s="5" t="s">
        <v>372</v>
      </c>
      <c r="H8" s="5" t="s">
        <v>373</v>
      </c>
    </row>
    <row r="9" spans="1:8" ht="72" customHeight="1">
      <c r="A9" s="5" t="s">
        <v>309</v>
      </c>
      <c r="B9" s="5" t="s">
        <v>379</v>
      </c>
      <c r="C9" s="5" t="s">
        <v>380</v>
      </c>
      <c r="D9" s="5" t="s">
        <v>371</v>
      </c>
      <c r="E9" s="5" t="s">
        <v>381</v>
      </c>
      <c r="F9" s="5">
        <v>200</v>
      </c>
      <c r="G9" s="5" t="s">
        <v>368</v>
      </c>
      <c r="H9" s="5" t="s">
        <v>382</v>
      </c>
    </row>
    <row r="10" spans="1:8" ht="72" customHeight="1">
      <c r="A10" s="5" t="s">
        <v>315</v>
      </c>
      <c r="B10" s="5" t="s">
        <v>383</v>
      </c>
      <c r="C10" s="5" t="s">
        <v>380</v>
      </c>
      <c r="D10" s="5" t="s">
        <v>371</v>
      </c>
      <c r="E10" s="5"/>
      <c r="F10" s="5">
        <v>400</v>
      </c>
      <c r="G10" s="5" t="s">
        <v>372</v>
      </c>
      <c r="H10" s="5" t="s">
        <v>384</v>
      </c>
    </row>
    <row r="11" spans="1:8" ht="72" customHeight="1">
      <c r="A11" s="5" t="s">
        <v>317</v>
      </c>
      <c r="B11" s="5" t="s">
        <v>385</v>
      </c>
      <c r="C11" s="5" t="s">
        <v>386</v>
      </c>
      <c r="D11" s="5" t="s">
        <v>371</v>
      </c>
      <c r="E11" s="5" t="s">
        <v>387</v>
      </c>
      <c r="F11" s="5">
        <v>200</v>
      </c>
      <c r="G11" s="5" t="s">
        <v>372</v>
      </c>
      <c r="H11" s="5" t="s">
        <v>388</v>
      </c>
    </row>
    <row r="12" spans="1:8" ht="72" customHeight="1">
      <c r="A12" s="5" t="s">
        <v>323</v>
      </c>
      <c r="B12" s="5" t="s">
        <v>389</v>
      </c>
      <c r="C12" s="5" t="s">
        <v>386</v>
      </c>
      <c r="D12" s="5" t="s">
        <v>371</v>
      </c>
      <c r="E12" s="5" t="s">
        <v>390</v>
      </c>
      <c r="F12" s="5">
        <v>400</v>
      </c>
      <c r="G12" s="5" t="s">
        <v>372</v>
      </c>
      <c r="H12" s="5" t="s">
        <v>391</v>
      </c>
    </row>
    <row r="13" spans="1:8" ht="72" customHeight="1">
      <c r="A13" s="5" t="s">
        <v>328</v>
      </c>
      <c r="B13" s="5" t="s">
        <v>392</v>
      </c>
      <c r="C13" s="5" t="s">
        <v>386</v>
      </c>
      <c r="D13" s="5" t="s">
        <v>393</v>
      </c>
      <c r="E13" s="5"/>
      <c r="F13" s="5">
        <v>405</v>
      </c>
      <c r="G13" s="5" t="s">
        <v>372</v>
      </c>
      <c r="H13" s="5" t="s">
        <v>373</v>
      </c>
    </row>
    <row r="14" spans="1:8" ht="72" customHeight="1">
      <c r="A14" s="5" t="s">
        <v>332</v>
      </c>
      <c r="B14" s="5" t="s">
        <v>394</v>
      </c>
      <c r="C14" s="5" t="s">
        <v>386</v>
      </c>
      <c r="D14" s="5" t="s">
        <v>371</v>
      </c>
      <c r="E14" s="5" t="s">
        <v>395</v>
      </c>
      <c r="F14" s="5">
        <v>404</v>
      </c>
      <c r="G14" s="5" t="s">
        <v>372</v>
      </c>
      <c r="H14" s="5" t="s">
        <v>396</v>
      </c>
    </row>
    <row r="15" spans="1:8" ht="72" customHeight="1">
      <c r="A15" s="5" t="s">
        <v>337</v>
      </c>
      <c r="B15" s="5" t="s">
        <v>397</v>
      </c>
      <c r="C15" s="5" t="s">
        <v>398</v>
      </c>
      <c r="D15" s="5" t="s">
        <v>371</v>
      </c>
      <c r="E15" s="5" t="s">
        <v>399</v>
      </c>
      <c r="F15" s="5">
        <v>201</v>
      </c>
      <c r="G15" s="5" t="s">
        <v>372</v>
      </c>
      <c r="H15" s="5" t="s">
        <v>400</v>
      </c>
    </row>
    <row r="16" spans="1:8" ht="72" customHeight="1">
      <c r="A16" s="5" t="s">
        <v>343</v>
      </c>
      <c r="B16" s="5" t="s">
        <v>401</v>
      </c>
      <c r="C16" s="5" t="s">
        <v>402</v>
      </c>
      <c r="D16" s="5" t="s">
        <v>393</v>
      </c>
      <c r="E16" s="5" t="s">
        <v>387</v>
      </c>
      <c r="F16" s="5">
        <v>200</v>
      </c>
      <c r="G16" s="5" t="s">
        <v>372</v>
      </c>
      <c r="H16" s="5" t="s">
        <v>403</v>
      </c>
    </row>
    <row r="17" spans="1:10" ht="72" customHeight="1">
      <c r="A17" s="5" t="s">
        <v>348</v>
      </c>
      <c r="B17" s="5" t="s">
        <v>404</v>
      </c>
      <c r="C17" s="5" t="s">
        <v>405</v>
      </c>
      <c r="D17" s="5" t="s">
        <v>378</v>
      </c>
      <c r="E17" s="5" t="s">
        <v>399</v>
      </c>
      <c r="F17" s="5">
        <v>200</v>
      </c>
      <c r="G17" s="5" t="s">
        <v>372</v>
      </c>
      <c r="H17" s="5" t="s">
        <v>406</v>
      </c>
      <c r="J17" t="s">
        <v>417</v>
      </c>
    </row>
    <row r="18" spans="1:10" ht="72" customHeight="1">
      <c r="A18" s="5" t="s">
        <v>353</v>
      </c>
      <c r="B18" s="5" t="s">
        <v>407</v>
      </c>
      <c r="C18" s="5" t="s">
        <v>408</v>
      </c>
      <c r="D18" s="5" t="s">
        <v>367</v>
      </c>
      <c r="E18" s="5" t="s">
        <v>409</v>
      </c>
      <c r="F18" s="5">
        <v>200</v>
      </c>
      <c r="G18" s="5" t="s">
        <v>368</v>
      </c>
      <c r="H18" s="5" t="s">
        <v>410</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RTM</vt:lpstr>
      <vt:lpstr>Source Scenarios</vt:lpstr>
      <vt:lpstr>Source APIs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2026-08-01T06:00:44Z</dcterms:modified>
</cp:coreProperties>
</file>