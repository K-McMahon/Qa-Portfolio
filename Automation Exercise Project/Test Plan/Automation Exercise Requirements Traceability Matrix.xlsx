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93156e3f4e49b9" /></Relationships>
</file>

<file path=xl/workbook.xml><?xml version="1.0" encoding="utf-8"?>
<x:workbook xmlns:x="http://schemas.openxmlformats.org/spreadsheetml/2006/main">
  <x:sheets>
    <x:sheet xmlns:r="http://schemas.openxmlformats.org/officeDocument/2006/relationships" name="Overview" sheetId="1" r:id="R56e8e386f27f41da"/>
    <x:sheet xmlns:r="http://schemas.openxmlformats.org/officeDocument/2006/relationships" name="RTM" sheetId="2" r:id="R30264579887248b4"/>
    <x:sheet xmlns:r="http://schemas.openxmlformats.org/officeDocument/2006/relationships" name="Source Scenarios" sheetId="3" r:id="R2a6eca20ec7c4472"/>
    <x:sheet xmlns:r="http://schemas.openxmlformats.org/officeDocument/2006/relationships" name="Source APIs" sheetId="4" r:id="Rb5b9934d2bb44a62"/>
    <x:sheet xmlns:r="http://schemas.openxmlformats.org/officeDocument/2006/relationships" name="Jira Sync" sheetId="5" r:id="R0c0bdc12b1eb418a"/>
  </x:sheets>
</x:workbook>
</file>

<file path=xl/sharedStrings.xml><?xml version="1.0" encoding="utf-8"?>
<x:sst xmlns:x="http://schemas.openxmlformats.org/spreadsheetml/2006/main">
  <x:si>
    <x:t xml:space="preserve">Total Requirements</x:t>
  </x:si>
  <x:si>
    <x:t xml:space="preserve">Fully Covered</x:t>
  </x:si>
  <x:si>
    <x:t xml:space="preserve">Partially Covered</x:t>
  </x:si>
  <x:si>
    <x:t xml:space="preserve">Not Covered</x:t>
  </x:si>
  <x:si>
    <x:t xml:space="preserve">Coverage Status</x:t>
  </x:si>
  <x:si>
    <x:t xml:space="preserve">Count</x:t>
  </x:si>
  <x:si>
    <x:t xml:space="preserve">UI Scenarios</x:t>
  </x:si>
  <x:si>
    <x:t xml:space="preserve">API Scenarios</x:t>
  </x:si>
  <x:si>
    <x:t xml:space="preserve">Tester-Derived</x:t>
  </x:si>
  <x:si>
    <x:t xml:space="preserve">Execution Status</x:t>
  </x:si>
  <x:si>
    <x:t xml:space="preserve">Defect-Linked</x:t>
  </x:si>
  <x:si>
    <x:t xml:space="preserve">Notes</x:t>
  </x:si>
  <x:si>
    <x:t xml:space="preserve">Mapped requirements whose linked tests passed</x:t>
  </x:si>
  <x:si>
    <x:t xml:space="preserve">Mapped requirements whose linked tests failed</x:t>
  </x:si>
  <x:si>
    <x:t xml:space="preserve">Requirements without executed coverage</x:t>
  </x:si>
  <x:si>
    <x:t xml:space="preserve">Coverage Assessment</x:t>
  </x:si>
  <x:si>
    <x:t xml:space="preserve">Requirements Traceability Matrix</x:t>
  </x:si>
  <x:si>
    <x:t xml:space="preserve">Coverage rule: Fully Covered means every material behavior in the requirement is mapped to one or more existing test cases. Partially Covered means some, but not all material behavior is mapped. Not Covered means no existing case verifies the requirement.</x:t>
  </x:si>
  <x:si>
    <x:t xml:space="preserve">Authoritative Source Scenarios</x:t>
  </x:si>
  <x:si>
    <x:t xml:space="preserve">Exact scenario titles and step sequences transcribed from the Automation Exercise website</x:t>
  </x:si>
  <x:si>
    <x:t xml:space="preserve">Source Scenario ID</x:t>
  </x:si>
  <x:si>
    <x:t xml:space="preserve">Exact Scenario Title</x:t>
  </x:si>
  <x:si>
    <x:t xml:space="preserve">Step Count</x:t>
  </x:si>
  <x:si>
    <x:t xml:space="preserve">Exact Source Steps</x:t>
  </x:si>
  <x:si>
    <x:t xml:space="preserve">SRC-TC-01</x:t>
  </x:si>
  <x:si>
    <x:t xml:space="preserve">Test Case 1: Register User</x:t>
  </x:si>
  <x:si>
    <x:t xml:space="preserve">1. Launch browser
2. Navigate to url 'http://automationexercise.com'
3. Verify that home page is visible successfully
4. Click on 'Signup / Login' button
5. Verify 'New User Signup!' is visible
6. Enter name and email address
7. Click 'Signup' button
8. Verify that 'ENTER ACCOUNT INFORMATION' is visible
9. Fill details: Title, Name, Email, Password, Date of birth
10. Select checkbox 'Sign up for our newsletter!'
11. Select checkbox 'Receive special offers from our partners!'
12. Fill details: First name, Last name, Company, Address, Address2, Country, State, City, Zipcode, Mobile Number
13. Click 'Create Account button'
14. Verify that 'ACCOUNT CREATED!' is visible
15. Click 'Continue' button
16. Verify that 'Logged in as username' is visible
17. Click 'Delete Account' button
18. Verify that 'ACCOUNT DELETED!' is visible and click 'Continue' button</x:t>
  </x:si>
  <x:si>
    <x:t xml:space="preserve">SRC-TC-02</x:t>
  </x:si>
  <x:si>
    <x:t xml:space="preserve">Test Case 2: Login User with correct email and password</x:t>
  </x:si>
  <x:si>
    <x:t xml:space="preserve">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'Delete Account' button
10. Verify that 'ACCOUNT DELETED!' is visible</x:t>
  </x:si>
  <x:si>
    <x:t xml:space="preserve">SRC-TC-03</x:t>
  </x:si>
  <x:si>
    <x:t xml:space="preserve">Test Case 3: Login User with incorrect email and password</x:t>
  </x:si>
  <x:si>
    <x:t xml:space="preserve">1. Launch browser
2. Navigate to url 'http://automationexercise.com'
3. Verify that home page is visible successfully
4. Click on 'Signup / Login' button
5. Verify 'Login to your account' is visible
6. Enter incorrect email address and password
7. Click 'login' button
8. Verify error 'Your email or password is incorrect!' is visible</x:t>
  </x:si>
  <x:si>
    <x:t xml:space="preserve">SRC-TC-04</x:t>
  </x:si>
  <x:si>
    <x:t xml:space="preserve">Test Case 4: Logout User</x:t>
  </x:si>
  <x:si>
    <x:t xml:space="preserve">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'Logout' button
10. Verify that user is navigated to login page</x:t>
  </x:si>
  <x:si>
    <x:t xml:space="preserve">SRC-TC-05</x:t>
  </x:si>
  <x:si>
    <x:t xml:space="preserve">Test Case 5: Register User with existing email</x:t>
  </x:si>
  <x:si>
    <x:t xml:space="preserve">1. Launch browser
2. Navigate to url 'http://automationexercise.com'
3. Verify that home page is visible successfully
4. Click on 'Signup / Login' button
5. Verify 'New User Signup!' is visible
6. Enter name and already registered email address
7. Click 'Signup' button
8. Verify error 'Email Address already exist!' is visible</x:t>
  </x:si>
  <x:si>
    <x:t xml:space="preserve">SRC-TC-06</x:t>
  </x:si>
  <x:si>
    <x:t xml:space="preserve">Test Case 6: Contact Us Form</x:t>
  </x:si>
  <x:si>
    <x:t xml:space="preserve">1. Launch browser
2. Navigate to url 'http://automationexercise.com'
3. Verify that home page is visible successfully
4. Click on 'Contact Us' button
5. Verify 'GET IN TOUCH' is visible
6. Enter name, email, subject and message
7. Upload file
8. Click 'Submit' button
9. Click OK button
10. Verify success message 'Success! Your details have been submitted successfully.' is visible
11. Click 'Home' button and verify that landed to home page successfully</x:t>
  </x:si>
  <x:si>
    <x:t xml:space="preserve">SRC-TC-07</x:t>
  </x:si>
  <x:si>
    <x:t xml:space="preserve">Test Case 7: Verify Test Cases Page</x:t>
  </x:si>
  <x:si>
    <x:t xml:space="preserve">1. Launch browser
2. Navigate to url 'http://automationexercise.com'
3. Verify that home page is visible successfully
4. Click on 'Test Cases' button
5. Verify user is navigated to test cases page successfully</x:t>
  </x:si>
  <x:si>
    <x:t xml:space="preserve">SRC-TC-08</x:t>
  </x:si>
  <x:si>
    <x:t xml:space="preserve">Test Case 8: Verify All Products and product detail page</x:t>
  </x:si>
  <x:si>
    <x:t xml:space="preserve">1. Launch browser
2. Navigate to url 'http://automationexercise.com'
3. Verify that home page is visible successfully
4. Click on 'Products' button
5. Verify user is navigated to ALL PRODUCTS page successfully
6. The products list is visible
7. Click on 'View Product' of first product
8. User is landed to product detail page
9. Verify that detail detail is visible: product name, category, price, availability, condition, brand</x:t>
  </x:si>
  <x:si>
    <x:t xml:space="preserve">SRC-TC-09</x:t>
  </x:si>
  <x:si>
    <x:t xml:space="preserve">Test Case 9: Search Product</x:t>
  </x:si>
  <x:si>
    <x:t xml:space="preserve">1. Launch browser
2. Navigate to url 'http://automationexercise.com'
3. Verify that home page is visible successfully
4. Click on 'Products' button
5. Verify user is navigated to ALL PRODUCTS page successfully
6. Enter product name in search input and click search button
7. Verify 'SEARCHED PRODUCTS' is visible
8. Verify all the products related to search are visible</x:t>
  </x:si>
  <x:si>
    <x:t xml:space="preserve">SRC-TC-10</x:t>
  </x:si>
  <x:si>
    <x:t xml:space="preserve">Test Case 10: Verify Subscription in home page</x:t>
  </x:si>
  <x:si>
    <x:t xml:space="preserve">1. Launch browser
2. Navigate to url 'http://automationexercise.com'
3. Verify that home page is visible successfully
4. Scroll down to footer
5. Verify text 'SUBSCRIPTION'
6. Enter email address in input and click arrow button
7. Verify success message 'You have been successfully subscribed!' is visible</x:t>
  </x:si>
  <x:si>
    <x:t xml:space="preserve">SRC-TC-11</x:t>
  </x:si>
  <x:si>
    <x:t xml:space="preserve">Test Case 11: Verify Subscription in Cart page</x:t>
  </x:si>
  <x:si>
    <x:t xml:space="preserve">1. Launch browser
2. Navigate to url 'http://automationexercise.com'
3. Verify that home page is visible successfully
4. Click 'Cart' button
5. Scroll down to footer
6. Verify text 'SUBSCRIPTION'
7. Enter email address in input and click arrow button
8. Verify success message 'You have been successfully subscribed!' is visible</x:t>
  </x:si>
  <x:si>
    <x:t xml:space="preserve">SRC-TC-12</x:t>
  </x:si>
  <x:si>
    <x:t xml:space="preserve">Test Case 12: Add Products in Cart</x:t>
  </x:si>
  <x:si>
    <x:t xml:space="preserve">1. Launch browser
2. Navigate to url 'http://automationexercise.com'
3. Verify that home page is visible successfully
4. Click 'Products' button
5. Hover over first product and click 'Add to cart'
6. Click 'Continue Shopping' button
7. Hover over second product and click 'Add to cart'
8. Click 'View Cart' button
9. Verify both products are added to Cart
10. Verify their prices, quantity and total price</x:t>
  </x:si>
  <x:si>
    <x:t xml:space="preserve">SRC-TC-13</x:t>
  </x:si>
  <x:si>
    <x:t xml:space="preserve">Test Case 13: Verify Product quantity in Cart</x:t>
  </x:si>
  <x:si>
    <x:t xml:space="preserve">1. Launch browser
2. Navigate to url 'http://automationexercise.com'
3. Verify that home page is visible successfully
4. Click 'View Product' for any product on home page
5. Verify product detail is opened
6. Increase quantity to 4
7. Click 'Add to cart' button
8. Click 'View Cart' button
9. Verify that product is displayed in cart page with exact quantity</x:t>
  </x:si>
  <x:si>
    <x:t xml:space="preserve">SRC-TC-14</x:t>
  </x:si>
  <x:si>
    <x:t xml:space="preserve">Test Case 14: Place Order: Register while Checkout</x:t>
  </x:si>
  <x:si>
    <x:t xml:space="preserve">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'Logged in as username' at top
12. 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'Delete Account' button
20. Verify 'ACCOUNT DELETED!' and click 'Continue' button</x:t>
  </x:si>
  <x:si>
    <x:t xml:space="preserve">SRC-TC-15</x:t>
  </x:si>
  <x:si>
    <x:t xml:space="preserve">Test Case 15: Place Order: Register before Checkout</x:t>
  </x:si>
  <x:si>
    <x:t xml:space="preserve">1. Launch browser
2. Navigate to url 'http://automationexercise.com'
3. Verify that home page is visible successfully
4. Click 'Signup / Login' button
5. Fill all details in Signup and create account
6. Verify 'ACCOUNT CREATED!' and click 'Continue' button
7. Verify 'Logged in as username' at top
8. Add products to cart
9. Click 'Cart' button
10. Verify that cart page is displayed
11. Click Proceed To Checkout
12. Verify Address Details and Review Your Order
13. Enter description in comment text area and click 'Place Order'
14. Enter payment details: Name on Card, Card Number, CVC, Expiration date
15. Click 'Pay and Confirm Order' button
16. Verify success message 'Your order has been placed successfully!'
17. Click 'Delete Account' button
18. Verify 'ACCOUNT DELETED!' and click 'Continue' button</x:t>
  </x:si>
  <x:si>
    <x:t xml:space="preserve">SRC-TC-16</x:t>
  </x:si>
  <x:si>
    <x:t xml:space="preserve">Test Case 16: Place Order: Login before Checkout</x:t>
  </x:si>
  <x:si>
    <x:t xml:space="preserve">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success message 'Your order has been placed successfully!'
16. Click 'Delete Account' button
17. Verify 'ACCOUNT DELETED!' and click 'Continue' button</x:t>
  </x:si>
  <x:si>
    <x:t xml:space="preserve">SRC-TC-17</x:t>
  </x:si>
  <x:si>
    <x:t xml:space="preserve">Test Case 17: Remove Products From Cart</x:t>
  </x:si>
  <x:si>
    <x:t xml:space="preserve">1. Launch browser
2. Navigate to url 'http://automationexercise.com'
3. Verify that home page is visible successfully
4. Add products to cart
5. Click 'Cart' button
6. Verify that cart page is displayed
7. Click 'X' button corresponding to particular product
8. Verify that product is removed from the cart</x:t>
  </x:si>
  <x:si>
    <x:t xml:space="preserve">SRC-TC-18</x:t>
  </x:si>
  <x:si>
    <x:t xml:space="preserve">Test Case 18: View Category Products</x:t>
  </x:si>
  <x:si>
    <x:t xml:space="preserve">1. Launch browser
2. Navigate to url 'http://automationexercise.com'
3. Verify that categories are visible on left side bar
4. Click on 'Women' category
5. Click on any category link under 'Women' category, for example: Dress
6. Verify that category page is displayed and confirm text 'WOMEN - TOPS PRODUCTS'
7. On left side bar, click on any sub-category link of 'Men' category
8. Verify that user is navigated to that category page</x:t>
  </x:si>
  <x:si>
    <x:t xml:space="preserve">SRC-TC-19</x:t>
  </x:si>
  <x:si>
    <x:t xml:space="preserve">Test Case 19: View &amp; Cart Brand Products</x:t>
  </x:si>
  <x:si>
    <x:t xml:space="preserve">1. Launch browser
2. Navigate to url 'http://automationexercise.com'
3. Click on 'Products' button
4. Verify that Brands are visible on left side bar
5. Click on any brand name
6. Verify that user is navigated to brand page and brand products are displayed
7. On left side bar, click on any other brand link
8. Verify that user is navigated to that brand page and can see products</x:t>
  </x:si>
  <x:si>
    <x:t xml:space="preserve">SRC-TC-20</x:t>
  </x:si>
  <x:si>
    <x:t xml:space="preserve">Test Case 20: Search Products and Verify Cart After Login</x:t>
  </x:si>
  <x:si>
    <x:t xml:space="preserve">1. Launch browser
2. Navigate to url 'http://automationexercise.com'
3. Click on 'Products' button
4. Verify user is navigated to ALL PRODUCTS page successfully
5. Enter product name in search input and click search button
6. Verify 'SEARCHED PRODUCTS' is visible
7. Verify all the products related to search are visible
8. Add those products to cart
9. Click 'Cart' button and verify that products are visible in cart
10. Click 'Signup / Login' button and submit login details
11. Again, go to Cart page
12. Verify that those products are visible in cart after login as well</x:t>
  </x:si>
  <x:si>
    <x:t xml:space="preserve">SRC-TC-21</x:t>
  </x:si>
  <x:si>
    <x:t xml:space="preserve">Test Case 21: Add review on product</x:t>
  </x:si>
  <x:si>
    <x:t xml:space="preserve">1. Launch browser
2. Navigate to url 'http://automationexercise.com'
3. Click on 'Products' button
4. Verify user is navigated to ALL PRODUCTS page successfully
5. Click on 'View Product' button
6. Verify 'Write Your Review' is visible
7. Enter name, email and review
8. Click 'Submit' button
9. Verify success message 'Thank you for your review.'</x:t>
  </x:si>
  <x:si>
    <x:t xml:space="preserve">SRC-TC-22</x:t>
  </x:si>
  <x:si>
    <x:t xml:space="preserve">Test Case 22: Add to cart from Recommended items</x:t>
  </x:si>
  <x:si>
    <x:t xml:space="preserve">1. Launch browser
2. Navigate to url 'http://automationexercise.com'
3. Scroll to bottom of page
4. Verify 'RECOMMENDED ITEMS' are visible
5. Click on 'Add To Cart' on Recommended product
6. Click on 'View Cart' button
7. Verify that product is displayed in cart page</x:t>
  </x:si>
  <x:si>
    <x:t xml:space="preserve">SRC-TC-23</x:t>
  </x:si>
  <x:si>
    <x:t xml:space="preserve">Test Case 23: Verify address details in checkout page</x:t>
  </x:si>
  <x:si>
    <x:t xml:space="preserve">1. Launch browser
2. Navigate to url 'http://automationexercise.com'
3. Verify that home page is visible successfully
4. Click 'Signup / Login' button
5. Fill all details in Signup and create account
6. Verify 'ACCOUNT CREATED!' and click 'Continue' button
7. Verify 'Logged in as username' at top
8. Add products to cart
9. Click 'Cart' button
10. Verify that cart page is displayed
11. Click Proceed To Checkout
12. Verify that the delivery address is same address filled at the time registration of account
13. Verify that the billing address is same address filled at the time registration of account
14. Click 'Delete Account' button
15. Verify 'ACCOUNT DELETED!' and click 'Continue' button</x:t>
  </x:si>
  <x:si>
    <x:t xml:space="preserve">SRC-TC-24</x:t>
  </x:si>
  <x:si>
    <x:t xml:space="preserve">Test Case 24: Download Invoice after purchase order</x:t>
  </x:si>
  <x:si>
    <x:t xml:space="preserve">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'Logged in as username' at top
12. 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'Download Invoice' button and verify invoice is downloaded successfully.
20. Click 'Continue' button
21. Click 'Delete Account' button
22. Verify 'ACCOUNT DELETED!' and click 'Continue' button</x:t>
  </x:si>
  <x:si>
    <x:t xml:space="preserve">SRC-TC-25</x:t>
  </x:si>
  <x:si>
    <x:t xml:space="preserve">Test Case 25: Verify Scroll Up using 'Arrow' button and Scroll Down functionality.</x:t>
  </x:si>
  <x:si>
    <x:t xml:space="preserve">1. Launch browser
2. Navigate to url 'http://automationexercise.com'
3. Verify that home page is visible successfully
4. Scroll down page to bottom
5. Verify 'SUBSCRIPTION' is visible
6. Click on arrow at bottom right side to move upward
7. Verify that page is scrolled up and 'Full-Fledged practice website for Automation Engineers' text is visible on screen</x:t>
  </x:si>
  <x:si>
    <x:t xml:space="preserve">SRC-TC-26</x:t>
  </x:si>
  <x:si>
    <x:t xml:space="preserve">Test Case 26: Verify Scroll Up without 'Arrow' button and Scroll Down functionality.</x:t>
  </x:si>
  <x:si>
    <x:t xml:space="preserve">1. Launch browser
2. Navigate to url 'http://automationexercise.com'
3. Verify that home page is visible successfully
4. Scroll down page to bottom
5. Verify 'SUBSCRIPTION' is visible
6. Scroll up page to top
7. Verify that page is scrolled up and 'Full-Fledged practice website for Automation Engineers' text is visible on screen</x:t>
  </x:si>
  <x:si>
    <x:t xml:space="preserve">Automation Exercise — Official API Source Scenarios</x:t>
  </x:si>
  <x:si>
    <x:t xml:space="preserve">Exact scenario details transcribed from Automation Exercise Web Application</x:t>
  </x:si>
  <x:si>
    <x:t xml:space="preserve">Source API ID</x:t>
  </x:si>
  <x:si>
    <x:t xml:space="preserve">API URL</x:t>
  </x:si>
  <x:si>
    <x:t xml:space="preserve">Request Method</x:t>
  </x:si>
  <x:si>
    <x:t xml:space="preserve">Exact Request Parameter(s)</x:t>
  </x:si>
  <x:si>
    <x:t xml:space="preserve">Response Code</x:t>
  </x:si>
  <x:si>
    <x:t xml:space="preserve">Response Type</x:t>
  </x:si>
  <x:si>
    <x:t xml:space="preserve">Exact Expected Response</x:t>
  </x:si>
  <x:si>
    <x:t xml:space="preserve">SRC-API-01</x:t>
  </x:si>
  <x:si>
    <x:t xml:space="preserve">API 1: Get All Products List</x:t>
  </x:si>
  <x:si>
    <x:t xml:space="preserve">https://automationexercise.com/api/productsList</x:t>
  </x:si>
  <x:si>
    <x:t xml:space="preserve">GET</x:t>
  </x:si>
  <x:si>
    <x:t xml:space="preserve">Response JSON</x:t>
  </x:si>
  <x:si>
    <x:t xml:space="preserve">All products list</x:t>
  </x:si>
  <x:si>
    <x:t xml:space="preserve">SRC-API-02</x:t>
  </x:si>
  <x:si>
    <x:t xml:space="preserve">API 2: POST To All Products List</x:t>
  </x:si>
  <x:si>
    <x:t xml:space="preserve">POST</x:t>
  </x:si>
  <x:si>
    <x:t xml:space="preserve">Response Message</x:t>
  </x:si>
  <x:si>
    <x:t xml:space="preserve">This request method is not supported.</x:t>
  </x:si>
  <x:si>
    <x:t xml:space="preserve">SRC-API-03</x:t>
  </x:si>
  <x:si>
    <x:t xml:space="preserve">API 3: Get All Brands List</x:t>
  </x:si>
  <x:si>
    <x:t xml:space="preserve">https://automationexercise.com/api/brandsList</x:t>
  </x:si>
  <x:si>
    <x:t xml:space="preserve">All brands list</x:t>
  </x:si>
  <x:si>
    <x:t xml:space="preserve">SRC-API-04</x:t>
  </x:si>
  <x:si>
    <x:t xml:space="preserve">API 4: PUT To All Brands List</x:t>
  </x:si>
  <x:si>
    <x:t xml:space="preserve">PUT</x:t>
  </x:si>
  <x:si>
    <x:t xml:space="preserve">SRC-API-05</x:t>
  </x:si>
  <x:si>
    <x:t xml:space="preserve">API 5: POST To Search Product</x:t>
  </x:si>
  <x:si>
    <x:t xml:space="preserve">https://automationexercise.com/api/searchProduct</x:t>
  </x:si>
  <x:si>
    <x:t xml:space="preserve">search_product (For example: top, tshirt, jean)</x:t>
  </x:si>
  <x:si>
    <x:t xml:space="preserve">Searched products list</x:t>
  </x:si>
  <x:si>
    <x:t xml:space="preserve">SRC-API-06</x:t>
  </x:si>
  <x:si>
    <x:t xml:space="preserve">API 6: POST To Search Product without search_product parameter</x:t>
  </x:si>
  <x:si>
    <x:t xml:space="preserve">Bad request, search_product parameter is missing in POST request.</x:t>
  </x:si>
  <x:si>
    <x:t xml:space="preserve">SRC-API-07</x:t>
  </x:si>
  <x:si>
    <x:t xml:space="preserve">API 7: POST To Verify Login with valid details</x:t>
  </x:si>
  <x:si>
    <x:t xml:space="preserve">https://automationexercise.com/api/verifyLogin</x:t>
  </x:si>
  <x:si>
    <x:t xml:space="preserve">email, password</x:t>
  </x:si>
  <x:si>
    <x:t xml:space="preserve">User exists!</x:t>
  </x:si>
  <x:si>
    <x:t xml:space="preserve">SRC-API-08</x:t>
  </x:si>
  <x:si>
    <x:t xml:space="preserve">API 8: POST To Verify Login without email parameter</x:t>
  </x:si>
  <x:si>
    <x:t xml:space="preserve">password</x:t>
  </x:si>
  <x:si>
    <x:t xml:space="preserve">Bad request, email or password parameter is missing in POST request.</x:t>
  </x:si>
  <x:si>
    <x:t xml:space="preserve">SRC-API-09</x:t>
  </x:si>
  <x:si>
    <x:t xml:space="preserve">API 9: DELETE To Verify Login</x:t>
  </x:si>
  <x:si>
    <x:t xml:space="preserve">DELETE</x:t>
  </x:si>
  <x:si>
    <x:t xml:space="preserve">SRC-API-10</x:t>
  </x:si>
  <x:si>
    <x:t xml:space="preserve">API 10: POST To Verify Login with invalid details</x:t>
  </x:si>
  <x:si>
    <x:t xml:space="preserve">email, password (invalid values)</x:t>
  </x:si>
  <x:si>
    <x:t xml:space="preserve">User not found!</x:t>
  </x:si>
  <x:si>
    <x:t xml:space="preserve">SRC-API-11</x:t>
  </x:si>
  <x:si>
    <x:t xml:space="preserve">API 11: POST To Create/Register User Account</x:t>
  </x:si>
  <x:si>
    <x:t xml:space="preserve">https://automationexercise.com/api/createAccount</x:t>
  </x:si>
  <x:si>
    <x:t xml:space="preserve">name, email, password, title (for example: Mr, Mrs, Miss), birth_date, birth_month, birth_year, firstname, lastname, company, address1, address2, country, zipcode, state, city, mobile_number</x:t>
  </x:si>
  <x:si>
    <x:t xml:space="preserve">User created!</x:t>
  </x:si>
  <x:si>
    <x:t xml:space="preserve">SRC-API-12</x:t>
  </x:si>
  <x:si>
    <x:t xml:space="preserve">API 12: DELETE METHOD To Delete User Account</x:t>
  </x:si>
  <x:si>
    <x:t xml:space="preserve">https://automationexercise.com/api/deleteAccount</x:t>
  </x:si>
  <x:si>
    <x:t xml:space="preserve">Account deleted!</x:t>
  </x:si>
  <x:si>
    <x:t xml:space="preserve">SRC-API-13</x:t>
  </x:si>
  <x:si>
    <x:t xml:space="preserve">API 13: PUT METHOD To Update User Account</x:t>
  </x:si>
  <x:si>
    <x:t xml:space="preserve">https://automationexercise.com/api/updateAccount</x:t>
  </x:si>
  <x:si>
    <x:t xml:space="preserve">User updated!</x:t>
  </x:si>
  <x:si>
    <x:t xml:space="preserve"> </x:t>
  </x:si>
  <x:si>
    <x:t xml:space="preserve">SRC-API-14</x:t>
  </x:si>
  <x:si>
    <x:t xml:space="preserve">API 14: GET user account detail by email</x:t>
  </x:si>
  <x:si>
    <x:t xml:space="preserve">https://automationexercise.com/api/getUserDetailByEmail</x:t>
  </x:si>
  <x:si>
    <x:t xml:space="preserve">email</x:t>
  </x:si>
  <x:si>
    <x:t xml:space="preserve">User Detail</x:t>
  </x:si>
</x:sst>
</file>

<file path=xl/styles.xml><?xml version="1.0" encoding="utf-8"?>
<x:styleSheet xmlns:x="http://schemas.openxmlformats.org/spreadsheetml/2006/main">
  <x:fonts count="15">
    <x:font>
      <x:sz val="11"/>
      <x:name val="Carlito"/>
    </x:font>
    <x:font>
      <x:b/>
      <x:sz val="18"/>
      <x:color rgb="FFFFFFFF"/>
      <x:name val="Carlito"/>
    </x:font>
    <x:font>
      <x:i/>
      <x:sz val="10"/>
      <x:color rgb="FF1F2937"/>
      <x:name val="Carlito"/>
    </x:font>
    <x:font>
      <x:b/>
      <x:sz val="10"/>
      <x:color rgb="FFFFFFFF"/>
      <x:name val="Carlito"/>
    </x:font>
    <x:font>
      <x:b/>
      <x:sz val="22"/>
      <x:color rgb="FF17365D"/>
      <x:name val="Carlito"/>
    </x:font>
    <x:font>
      <x:sz val="10"/>
      <x:color rgb="FF1F2937"/>
      <x:name val="Carlito"/>
    </x:font>
    <x:font>
      <x:b/>
      <x:sz val="12"/>
      <x:color rgb="FFFFFFFF"/>
      <x:name val="Carlito"/>
    </x:font>
    <x:font>
      <x:sz val="11"/>
      <x:color rgb="FF1F2937"/>
      <x:name val="Carlito"/>
    </x:font>
    <x:font>
      <x:i/>
      <x:sz val="10"/>
      <x:color rgb="FF7F6000"/>
      <x:name val="Carlito"/>
    </x:font>
    <x:font>
      <x:sz val="11"/>
      <x:color theme="10"/>
      <x:name val="Carlito"/>
    </x:font>
    <x:font>
      <x:sz val="10"/>
      <x:name val="Carlito"/>
    </x:font>
    <x:font>
      <x:b/>
      <x:sz val="11"/>
      <x:color rgb="FFFFFFFF"/>
      <x:name val="Carlito"/>
    </x:font>
    <x:font>
      <x:sz val="9"/>
      <x:color rgb="FF1F2937"/>
      <x:name val="Carlito"/>
    </x:font>
    <x:font>
      <x:i/>
      <x:sz val="10"/>
      <x:color rgb="FF334155"/>
      <x:name val="Carlito"/>
    </x:font>
    <x:font>
      <x:i/>
      <x:sz val="11"/>
      <x:color rgb="FF0F172A"/>
      <x:name val="Carlito"/>
    </x:font>
  </x:fonts>
  <x:fills count="2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4F6F8"/>
      </x:patternFill>
    </x:fill>
    <x:fill>
      <x:patternFill patternType="solid">
        <x:fgColor rgb="FFEAF3F8"/>
      </x:patternFill>
    </x:fill>
    <x:fill>
      <x:patternFill patternType="solid">
        <x:fgColor rgb="FFFFF2CC"/>
      </x:patternFill>
    </x:fill>
    <x:fill>
      <x:patternFill patternType="solid">
        <x:fgColor rgb="FF2F75B5"/>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2F75B5"/>
      </x:patternFill>
    </x:fill>
    <x:fill>
      <x:patternFill patternType="solid">
        <x:fgColor rgb="FFFFF2CC"/>
      </x:patternFill>
    </x:fill>
    <x:fill>
      <x:patternFill patternType="solid">
        <x:fgColor rgb="FFE2F0D9"/>
      </x:patternFill>
    </x:fill>
    <x:fill>
      <x:patternFill patternType="solid">
        <x:fgColor rgb="FFF4CCCC"/>
      </x:patternFill>
    </x:fill>
    <x:fill>
      <x:patternFill patternType="solid">
        <x:fgColor rgb="FFFCE4D6"/>
      </x:patternFill>
    </x:fill>
    <x:fill>
      <x:patternFill patternType="solid">
        <x:fgColor rgb="FFE7E6E6"/>
      </x:patternFill>
    </x:fill>
    <x:fill>
      <x:patternFill patternType="solid">
        <x:fgColor rgb="FF173B63"/>
      </x:patternFill>
    </x:fill>
    <x:fill>
      <x:patternFill patternType="solid">
        <x:fgColor rgb="FFD9EAF7"/>
      </x:patternFill>
    </x:fill>
    <x:fill>
      <x:patternFill patternType="solid">
        <x:fgColor rgb="FF0C4A6E"/>
      </x:patternFill>
    </x:fill>
    <x:fill>
      <x:patternFill patternType="solid">
        <x:fgColor rgb="FFE0F2FE"/>
      </x:patternFill>
    </x:fill>
    <x:fill>
      <x:patternFill patternType="solid">
        <x:fgColor rgb="FF0369A1"/>
      </x:patternFill>
    </x:fill>
  </x:fills>
  <x:borders count="33">
    <x:border/>
    <x:border>
      <x:left style="thin">
        <x:color rgb="FFC9D2DC"/>
      </x:left>
      <x:top style="thin">
        <x:color rgb="FFC9D2DC"/>
      </x:top>
    </x:border>
    <x:border>
      <x:top style="thin">
        <x:color rgb="FFC9D2DC"/>
      </x:top>
    </x:border>
    <x:border>
      <x:right style="thin">
        <x:color rgb="FFC9D2DC"/>
      </x:right>
      <x:top style="thin">
        <x:color rgb="FFC9D2DC"/>
      </x:top>
    </x:border>
    <x:border>
      <x:left style="thin">
        <x:color rgb="FFC9D2DC"/>
      </x:left>
      <x:bottom style="thin">
        <x:color rgb="FFC9D2DC"/>
      </x:bottom>
    </x:border>
    <x:border>
      <x:bottom style="thin">
        <x:color rgb="FFC9D2DC"/>
      </x:bottom>
    </x:border>
    <x:border>
      <x:right style="thin">
        <x:color rgb="FFC9D2DC"/>
      </x:right>
      <x:bottom style="thin">
        <x:color rgb="FFC9D2DC"/>
      </x:bottom>
    </x:border>
    <x:border>
      <x:left style="thin">
        <x:color rgb="FFC9D2DC"/>
      </x:left>
    </x:border>
    <x:border>
      <x:right style="thin">
        <x:color rgb="FFC9D2DC"/>
      </x:right>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left style="thin">
        <x:color indexed="64"/>
      </x:left>
      <x:right style="thin">
        <x:color indexed="64"/>
      </x:right>
      <x:top style="thin">
        <x:color indexed="64"/>
      </x:top>
      <x:bottom style="thin">
        <x:color indexed="64"/>
      </x:bottom>
    </x:border>
    <x:border>
      <x:right style="thin">
        <x:color indexed="64"/>
      </x:right>
      <x:bottom style="thin">
        <x:color indexed="64"/>
      </x:bottom>
    </x:border>
    <x:border>
      <x:left style="thin">
        <x:color indexed="64"/>
      </x:left>
      <x:right style="thin">
        <x:color indexed="64"/>
      </x:right>
      <x:bottom style="thin">
        <x:color indexed="64"/>
      </x:bottom>
    </x:border>
    <x:border>
      <x:left style="thin">
        <x:color indexed="64"/>
      </x:left>
      <x:bottom style="thin">
        <x:color indexed="64"/>
      </x:bottom>
    </x:border>
    <x:border>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rder>
    <x:border>
      <x:left style="thin">
        <x:color indexed="64"/>
      </x:left>
      <x:right style="thin">
        <x:color indexed="64"/>
      </x:right>
      <x:top style="thin">
        <x:color indexed="64"/>
      </x:top>
    </x:border>
    <x:border>
      <x:left style="thin">
        <x:color indexed="64"/>
      </x:left>
      <x:top style="thin">
        <x:color indexed="64"/>
      </x:top>
    </x:border>
    <x:border/>
    <x:border/>
    <x:border/>
    <x:border/>
    <x:border/>
    <x:border/>
    <x:border/>
    <x:border/>
    <x:border/>
  </x:borders>
  <x:cellStyleXfs count="2">
    <x:xf numFmtId="0" fontId="0" fillId="0" borderId="0"/>
    <x:xf numFmtId="0" fontId="9" fillId="0" borderId="0" applyNumberFormat="0" applyFill="0" applyBorder="0" applyAlignment="0" applyProtection="0"/>
  </x:cellStyleXfs>
  <x:cellXfs count="151">
    <x:xf numFmtId="0" fontId="0" fillId="0" borderId="0" xfId="0"/>
    <x:xf numFmtId="0" fontId="3" fillId="4" borderId="16" xfId="0" applyFont="1" applyFill="1" applyBorder="1" applyAlignment="1">
      <x:alignment horizontal="center" vertical="center" wrapText="1"/>
    </x:xf>
    <x:xf numFmtId="0" fontId="3" fillId="4" borderId="17" xfId="0" applyFont="1" applyFill="1" applyBorder="1" applyAlignment="1">
      <x:alignment horizontal="center" vertical="center" wrapText="1"/>
    </x:xf>
    <x:xf numFmtId="0" fontId="3" fillId="4" borderId="18" xfId="0" applyFont="1" applyFill="1" applyBorder="1" applyAlignment="1">
      <x:alignment horizontal="center" vertical="center" wrapText="1"/>
    </x:xf>
    <x:xf numFmtId="0" fontId="5" fillId="0" borderId="19" xfId="0" applyFont="1" applyBorder="1" applyAlignment="1">
      <x:alignment horizontal="center" vertical="top" wrapText="1"/>
    </x:xf>
    <x:xf numFmtId="0" fontId="5" fillId="0" borderId="15" xfId="0" applyFont="1" applyBorder="1" applyAlignment="1">
      <x:alignment horizontal="center" vertical="top" wrapText="1"/>
    </x:xf>
    <x:xf numFmtId="0" fontId="9" fillId="0" borderId="15" xfId="1" applyBorder="1" applyAlignment="1">
      <x:alignment horizontal="center" vertical="top" wrapText="1"/>
    </x:xf>
    <x:xf numFmtId="0" fontId="5" fillId="0" borderId="15" xfId="0" applyFont="1" applyBorder="1" applyAlignment="1">
      <x:alignment vertical="top" wrapText="1"/>
    </x:xf>
    <x:xf numFmtId="0" fontId="5" fillId="0" borderId="20" xfId="0" applyFont="1" applyBorder="1" applyAlignment="1">
      <x:alignment horizontal="center" vertical="top" wrapText="1"/>
    </x:xf>
    <x:xf numFmtId="0" fontId="5" fillId="0" borderId="21" xfId="0" applyFont="1" applyBorder="1" applyAlignment="1">
      <x:alignment horizontal="center" vertical="top" wrapText="1"/>
    </x:xf>
    <x:xf numFmtId="0" fontId="5" fillId="0" borderId="22" xfId="0" applyFont="1" applyBorder="1" applyAlignment="1">
      <x:alignment horizontal="center" vertical="top" wrapText="1"/>
    </x:xf>
    <x:xf numFmtId="0" fontId="5" fillId="0" borderId="22" xfId="0" applyFont="1" applyBorder="1" applyAlignment="1">
      <x:alignment vertical="top" wrapText="1"/>
    </x:xf>
    <x:xf numFmtId="0" fontId="5" fillId="0" borderId="23" xfId="0" applyFont="1" applyBorder="1" applyAlignment="1">
      <x:alignment horizontal="center" vertical="top" wrapText="1"/>
    </x:xf>
    <x:xf numFmtId="0" fontId="9" fillId="0" borderId="22" xfId="1" applyBorder="1" applyAlignment="1">
      <x:alignment horizontal="center" vertical="top" wrapText="1"/>
    </x:xf>
    <x:xf numFmtId="0" fontId="5" fillId="0" borderId="20" xfId="0" applyFont="1" applyBorder="1" applyAlignment="1">
      <x:alignment vertical="top" wrapText="1"/>
    </x:xf>
    <x:xf numFmtId="0" fontId="5" fillId="0" borderId="23" xfId="0" applyFont="1" applyBorder="1" applyAlignment="1">
      <x:alignment vertical="top" wrapText="1"/>
    </x:xf>
    <x:xf numFmtId="0" fontId="3" fillId="8" borderId="0" xfId="0" applyFont="1" applyFill="1" applyAlignment="1">
      <x:alignment horizontal="center" vertical="center" wrapText="1"/>
    </x:xf>
    <x:xf numFmtId="0" fontId="3" fillId="8" borderId="15" xfId="0" applyFont="1" applyFill="1" applyBorder="1" applyAlignment="1">
      <x:alignment horizontal="center" vertical="center"/>
    </x:xf>
    <x:xf numFmtId="0" fontId="5" fillId="0" borderId="15" xfId="0" applyFont="1" applyBorder="1" applyAlignment="1">
      <x:alignment horizontal="center" vertical="center"/>
    </x:xf>
    <x:xf numFmtId="0" fontId="3" fillId="4" borderId="15" xfId="0" applyFont="1" applyFill="1" applyBorder="1" applyAlignment="1">
      <x:alignment horizontal="center" vertical="center" wrapText="1"/>
    </x:xf>
    <x:xf numFmtId="0" fontId="5" fillId="0" borderId="15" xfId="0" applyFont="1" applyBorder="1" applyAlignment="1">
      <x:alignment horizontal="center" vertical="center" wrapText="1"/>
    </x:xf>
    <x:xf numFmtId="0" fontId="0" fillId="0" borderId="0" xfId="0" applyAlignment="1">
      <x:alignment vertical="top"/>
    </x:xf>
    <x:xf numFmtId="0" fontId="0" fillId="0" borderId="0" xfId="0" applyAlignment="1">
      <x:alignment horizontal="center" vertical="top"/>
    </x:xf>
    <x:xf numFmtId="0" fontId="10" fillId="0" borderId="15" xfId="0" applyFont="1" applyBorder="1" applyAlignment="1">
      <x:alignment horizontal="center" vertical="top"/>
    </x:xf>
    <x:xf numFmtId="0" fontId="10" fillId="0" borderId="15" xfId="0" applyFont="1" applyBorder="1" applyAlignment="1">
      <x:alignment vertical="top"/>
    </x:xf>
    <x:xf numFmtId="0" fontId="10" fillId="0" borderId="15" xfId="0" applyFont="1" applyBorder="1" applyAlignment="1">
      <x:alignment vertical="top" wrapText="1"/>
    </x:xf>
    <x:xf numFmtId="0" fontId="10" fillId="0" borderId="0" xfId="0" applyFont="1"/>
    <x:xf numFmtId="0" fontId="10" fillId="0" borderId="15" xfId="0" applyFont="1" applyBorder="1" applyAlignment="1">
      <x:alignment horizontal="center" vertical="top" wrapText="1"/>
    </x:xf>
    <x:xf numFmtId="0" fontId="6" fillId="2" borderId="0" xfId="0" applyFont="1" applyFill="1" applyAlignment="1">
      <x:alignment vertical="center"/>
    </x:xf>
    <x:xf numFmtId="0" fontId="7" fillId="6" borderId="1" xfId="0" applyFont="1" applyFill="1" applyBorder="1" applyAlignment="1">
      <x:alignment vertical="top" wrapText="1"/>
    </x:xf>
    <x:xf numFmtId="0" fontId="7" fillId="6" borderId="2" xfId="0" applyFont="1" applyFill="1" applyBorder="1" applyAlignment="1">
      <x:alignment vertical="top" wrapText="1"/>
    </x:xf>
    <x:xf numFmtId="0" fontId="7" fillId="6" borderId="3" xfId="0" applyFont="1" applyFill="1" applyBorder="1" applyAlignment="1">
      <x:alignment vertical="top" wrapText="1"/>
    </x:xf>
    <x:xf numFmtId="0" fontId="7" fillId="6" borderId="7" xfId="0" applyFont="1" applyFill="1" applyBorder="1" applyAlignment="1">
      <x:alignment vertical="top" wrapText="1"/>
    </x:xf>
    <x:xf numFmtId="0" fontId="7" fillId="6" borderId="0" xfId="0" applyFont="1" applyFill="1" applyAlignment="1">
      <x:alignment vertical="top" wrapText="1"/>
    </x:xf>
    <x:xf numFmtId="0" fontId="7" fillId="6" borderId="8" xfId="0" applyFont="1" applyFill="1" applyBorder="1" applyAlignment="1">
      <x:alignment vertical="top" wrapText="1"/>
    </x:xf>
    <x:xf numFmtId="0" fontId="7" fillId="6" borderId="4" xfId="0" applyFont="1" applyFill="1" applyBorder="1" applyAlignment="1">
      <x:alignment vertical="top" wrapText="1"/>
    </x:xf>
    <x:xf numFmtId="0" fontId="7" fillId="6" borderId="5" xfId="0" applyFont="1" applyFill="1" applyBorder="1" applyAlignment="1">
      <x:alignment vertical="top" wrapText="1"/>
    </x:xf>
    <x:xf numFmtId="0" fontId="7" fillId="6" borderId="6" xfId="0" applyFont="1" applyFill="1" applyBorder="1" applyAlignment="1">
      <x:alignment vertical="top" wrapText="1"/>
    </x:xf>
    <x:xf numFmtId="0" fontId="1" fillId="2" borderId="0" xfId="0" applyFont="1" applyFill="1" applyAlignment="1">
      <x:alignment horizontal="center" vertical="center"/>
    </x:xf>
    <x:xf numFmtId="0" fontId="2" fillId="3" borderId="0" xfId="0" applyFont="1" applyFill="1" applyAlignment="1">
      <x:alignment horizontal="center" vertical="center"/>
    </x:xf>
    <x:xf numFmtId="0" fontId="3" fillId="4" borderId="0" xfId="0" applyFont="1" applyFill="1" applyAlignment="1">
      <x:alignment horizontal="center" vertical="center"/>
    </x:xf>
    <x:xf numFmtId="0" fontId="4" fillId="5" borderId="1" xfId="0" applyFont="1" applyFill="1" applyBorder="1" applyAlignment="1">
      <x:alignment horizontal="center" vertical="center"/>
    </x:xf>
    <x:xf numFmtId="0" fontId="4" fillId="5" borderId="2" xfId="0" applyFont="1" applyFill="1" applyBorder="1" applyAlignment="1">
      <x:alignment horizontal="center" vertical="center"/>
    </x:xf>
    <x:xf numFmtId="0" fontId="4" fillId="5" borderId="3" xfId="0" applyFont="1" applyFill="1" applyBorder="1" applyAlignment="1">
      <x:alignment horizontal="center" vertical="center"/>
    </x:xf>
    <x:xf numFmtId="0" fontId="4" fillId="5" borderId="4" xfId="0" applyFont="1" applyFill="1" applyBorder="1" applyAlignment="1">
      <x:alignment horizontal="center" vertical="center"/>
    </x:xf>
    <x:xf numFmtId="0" fontId="4" fillId="5" borderId="5" xfId="0" applyFont="1" applyFill="1" applyBorder="1" applyAlignment="1">
      <x:alignment horizontal="center" vertical="center"/>
    </x:xf>
    <x:xf numFmtId="0" fontId="4" fillId="5" borderId="6" xfId="0" applyFont="1" applyFill="1" applyBorder="1" applyAlignment="1">
      <x:alignment horizontal="center" vertical="center"/>
    </x:xf>
    <x:xf numFmtId="0" fontId="8" fillId="7" borderId="9" xfId="0" applyFont="1" applyFill="1" applyBorder="1" applyAlignment="1">
      <x:alignment vertical="center" wrapText="1"/>
    </x:xf>
    <x:xf numFmtId="0" fontId="8" fillId="7" borderId="10" xfId="0" applyFont="1" applyFill="1" applyBorder="1" applyAlignment="1">
      <x:alignment vertical="center" wrapText="1"/>
    </x:xf>
    <x:xf numFmtId="0" fontId="8" fillId="7" borderId="11" xfId="0" applyFont="1" applyFill="1" applyBorder="1" applyAlignment="1">
      <x:alignment vertical="center" wrapText="1"/>
    </x:xf>
    <x:xf numFmtId="0" fontId="8" fillId="7" borderId="12" xfId="0" applyFont="1" applyFill="1" applyBorder="1" applyAlignment="1">
      <x:alignment vertical="center" wrapText="1"/>
    </x:xf>
    <x:xf numFmtId="0" fontId="8" fillId="7" borderId="13" xfId="0" applyFont="1" applyFill="1" applyBorder="1" applyAlignment="1">
      <x:alignment vertical="center" wrapText="1"/>
    </x:xf>
    <x:xf numFmtId="0" fontId="8" fillId="7" borderId="14" xfId="0" applyFont="1" applyFill="1" applyBorder="1" applyAlignment="1">
      <x:alignment vertical="center" wrapText="1"/>
    </x:xf>
    <x:xf numFmtId="0" fontId="1" fillId="9" borderId="0" xfId="0" applyFont="1" applyFill="1" applyAlignment="1">
      <x:alignment horizontal="center" vertical="center"/>
    </x:xf>
    <x:xf numFmtId="0" fontId="2" fillId="10" borderId="0" xfId="0" applyFont="1" applyFill="1" applyAlignment="1">
      <x:alignment horizontal="center" vertical="center"/>
    </x:xf>
    <x:xf numFmtId="0" fontId="10" fillId="0" borderId="15" xfId="0" applyNumberFormat="1" applyFont="1" applyFill="1" applyBorder="1" applyAlignment="1">
      <x:alignment vertical="top" wrapText="1"/>
    </x:xf>
    <x:xf numFmtId="0" fontId="10" fillId="0" borderId="15" xfId="0" applyNumberFormat="1" applyFont="1" applyFill="1" applyBorder="1" applyAlignment="1">
      <x:alignment horizontal="center" vertical="top" wrapText="1"/>
    </x:xf>
    <x:xf numFmtId="0" fontId="3" fillId="4" borderId="16" xfId="0" applyNumberFormat="1" applyFont="1" applyFill="1" applyBorder="1" applyAlignment="1">
      <x:alignment horizontal="center" vertical="center" wrapText="1"/>
    </x:xf>
    <x:xf numFmtId="0" fontId="3" fillId="4" borderId="17" xfId="0" applyNumberFormat="1" applyFont="1" applyFill="1" applyBorder="1" applyAlignment="1">
      <x:alignment horizontal="center" vertical="center" wrapText="1"/>
    </x:xf>
    <x:xf numFmtId="0" fontId="3" fillId="4" borderId="18"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5" fillId="0" borderId="19" xfId="0" applyNumberFormat="1" applyFont="1" applyFill="1" applyBorder="1" applyAlignment="1">
      <x:alignment horizontal="center" vertical="top" wrapText="1"/>
    </x:xf>
    <x:xf numFmtId="0" fontId="5" fillId="0" borderId="15" xfId="0" applyNumberFormat="1" applyFont="1" applyFill="1" applyBorder="1" applyAlignment="1">
      <x:alignment horizontal="center" vertical="top" wrapText="1"/>
    </x:xf>
    <x:xf numFmtId="0" fontId="9" fillId="0" borderId="15" xfId="0" applyNumberFormat="1" applyFont="1" applyFill="1" applyBorder="1" applyAlignment="1">
      <x:alignment horizontal="center" vertical="top" wrapText="1"/>
    </x:xf>
    <x:xf numFmtId="0" fontId="5" fillId="0" borderId="15" xfId="0" applyNumberFormat="1" applyFont="1" applyFill="1" applyBorder="1" applyAlignment="1">
      <x:alignment vertical="top" wrapText="1"/>
    </x:xf>
    <x:xf numFmtId="0" fontId="5" fillId="0" borderId="20" xfId="0" applyNumberFormat="1" applyFont="1" applyFill="1" applyBorder="1" applyAlignment="1">
      <x:alignment horizontal="center" vertical="top" wrapText="1"/>
    </x:xf>
    <x:xf numFmtId="0" fontId="5" fillId="0" borderId="21" xfId="0" applyNumberFormat="1" applyFont="1" applyFill="1" applyBorder="1" applyAlignment="1">
      <x:alignment horizontal="center" vertical="top" wrapText="1"/>
    </x:xf>
    <x:xf numFmtId="0" fontId="5" fillId="0" borderId="22" xfId="0" applyNumberFormat="1" applyFont="1" applyFill="1" applyBorder="1" applyAlignment="1">
      <x:alignment horizontal="center" vertical="top" wrapText="1"/>
    </x:xf>
    <x:xf numFmtId="0" fontId="9" fillId="0" borderId="22" xfId="0" applyNumberFormat="1" applyFont="1" applyFill="1" applyBorder="1" applyAlignment="1">
      <x:alignment horizontal="center"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horizontal="center" vertical="top" wrapText="1"/>
    </x:xf>
    <x:xf numFmtId="0" fontId="10" fillId="0" borderId="0" xfId="0" applyNumberFormat="1" applyFont="1" applyFill="1" applyBorder="1" applyAlignment="1">
      <x:alignment wrapText="1"/>
    </x:xf>
    <x:xf numFmtId="0" fontId="3" fillId="11" borderId="17" xfId="0" applyNumberFormat="1" applyFont="1" applyFill="1" applyBorder="1" applyAlignment="1">
      <x:alignment horizontal="center" vertical="center" wrapText="1"/>
    </x:xf>
    <x:xf numFmtId="0" fontId="3" fillId="11" borderId="18" xfId="0" applyNumberFormat="1" applyFont="1" applyFill="1" applyBorder="1" applyAlignment="1">
      <x:alignment horizontal="center" vertical="center" wrapText="1"/>
    </x:xf>
    <x:xf numFmtId="0" fontId="0" fillId="11" borderId="0" xfId="0" applyNumberFormat="1" applyFont="1" applyFill="1" applyBorder="1" applyAlignment="1">
      <x:alignment wrapText="1"/>
    </x:xf>
    <x:xf numFmtId="0" fontId="11" fillId="11"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2" fillId="0" borderId="19" xfId="0" applyNumberFormat="1" applyFont="1" applyFill="1" applyBorder="1" applyAlignment="1">
      <x:alignment horizontal="center" vertical="top" wrapText="1"/>
    </x:xf>
    <x:xf numFmtId="0" fontId="12" fillId="0" borderId="15" xfId="0" applyNumberFormat="1" applyFont="1" applyFill="1" applyBorder="1" applyAlignment="1">
      <x:alignment horizontal="center" vertical="top" wrapText="1"/>
    </x:xf>
    <x:xf numFmtId="0" fontId="12" fillId="0" borderId="15" xfId="0" applyNumberFormat="1" applyFont="1" applyFill="1" applyBorder="1" applyAlignment="1">
      <x:alignment vertical="top" wrapText="1"/>
    </x:xf>
    <x:xf numFmtId="0" fontId="12" fillId="0" borderId="20" xfId="0" applyNumberFormat="1" applyFont="1" applyFill="1" applyBorder="1" applyAlignment="1">
      <x:alignment horizontal="center" vertical="top" wrapText="1"/>
    </x:xf>
    <x:xf numFmtId="0" fontId="12" fillId="0" borderId="0" xfId="0" applyNumberFormat="1" applyFont="1" applyFill="1" applyBorder="1" applyAlignment="1">
      <x:alignment vertical="top" wrapText="1"/>
    </x:xf>
    <x:xf numFmtId="0" fontId="12" fillId="0" borderId="21" xfId="0" applyNumberFormat="1" applyFont="1" applyFill="1" applyBorder="1" applyAlignment="1">
      <x:alignment horizontal="center" vertical="top" wrapText="1"/>
    </x:xf>
    <x:xf numFmtId="0" fontId="12" fillId="0" borderId="22" xfId="0" applyNumberFormat="1" applyFont="1" applyFill="1" applyBorder="1" applyAlignment="1">
      <x:alignment horizontal="center" vertical="top" wrapText="1"/>
    </x:xf>
    <x:xf numFmtId="0" fontId="12" fillId="0" borderId="22" xfId="0" applyNumberFormat="1" applyFont="1" applyFill="1" applyBorder="1" applyAlignment="1">
      <x:alignment vertical="top" wrapText="1"/>
    </x:xf>
    <x:xf numFmtId="0" fontId="12" fillId="0" borderId="23" xfId="0" applyNumberFormat="1" applyFont="1" applyFill="1" applyBorder="1" applyAlignment="1">
      <x:alignment horizontal="center" vertical="top" wrapText="1"/>
    </x:xf>
    <x:xf numFmtId="0" fontId="12" fillId="0" borderId="24" xfId="0" applyNumberFormat="1" applyFont="1" applyFill="1" applyBorder="1" applyAlignment="1">
      <x:alignment horizontal="center" vertical="top" wrapText="1"/>
    </x:xf>
    <x:xf numFmtId="0" fontId="12" fillId="0" borderId="25" xfId="0" applyNumberFormat="1" applyFont="1" applyFill="1" applyBorder="1" applyAlignment="1">
      <x:alignment horizontal="center" vertical="top"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0" borderId="27" xfId="0" applyNumberFormat="1" applyFont="1" applyFill="1" applyBorder="1" applyAlignment="1">
      <x:alignment horizontal="center" vertical="top" wrapText="1"/>
    </x:xf>
    <x:xf numFmtId="0" fontId="12" fillId="0" borderId="28" xfId="0" applyNumberFormat="1" applyFont="1" applyFill="1" applyBorder="1" applyAlignment="1">
      <x:alignment horizontal="center" vertical="top" wrapText="1"/>
    </x:xf>
    <x:xf numFmtId="0" fontId="12" fillId="0" borderId="28" xfId="0" applyNumberFormat="1" applyFont="1" applyFill="1" applyBorder="1" applyAlignment="1">
      <x:alignment vertical="top" wrapText="1"/>
    </x:xf>
    <x:xf numFmtId="0" fontId="12" fillId="0" borderId="29" xfId="0" applyNumberFormat="1" applyFont="1" applyFill="1" applyBorder="1" applyAlignment="1">
      <x:alignment vertical="top" wrapText="1"/>
    </x:xf>
    <x:xf numFmtId="0" fontId="12" fillId="0" borderId="30" xfId="0" applyNumberFormat="1" applyFont="1" applyFill="1" applyBorder="1" applyAlignment="1">
      <x:alignment horizontal="center" vertical="top" wrapText="1"/>
    </x:xf>
    <x:xf numFmtId="0" fontId="12" fillId="0" borderId="31" xfId="0" applyNumberFormat="1" applyFont="1" applyFill="1" applyBorder="1" applyAlignment="1">
      <x:alignment horizontal="center" vertical="top" wrapText="1"/>
    </x:xf>
    <x:xf numFmtId="0" fontId="12" fillId="0" borderId="31" xfId="0" applyNumberFormat="1" applyFont="1" applyFill="1" applyBorder="1" applyAlignment="1">
      <x:alignment vertical="top" wrapText="1"/>
    </x:xf>
    <x:xf numFmtId="0" fontId="12" fillId="0" borderId="32" xfId="0" applyNumberFormat="1" applyFont="1" applyFill="1" applyBorder="1" applyAlignment="1">
      <x:alignment vertical="top" wrapText="1"/>
    </x:xf>
    <x:xf numFmtId="0" fontId="3" fillId="12" borderId="16" xfId="0" applyNumberFormat="1" applyFont="1" applyFill="1" applyBorder="1" applyAlignment="1">
      <x:alignment horizontal="center" vertical="center" wrapText="1"/>
    </x:xf>
    <x:xf numFmtId="0" fontId="3" fillId="12" borderId="17" xfId="0" applyNumberFormat="1" applyFont="1" applyFill="1" applyBorder="1" applyAlignment="1">
      <x:alignment horizontal="center" vertical="center" wrapText="1"/>
    </x:xf>
    <x:xf numFmtId="0" fontId="3" fillId="12" borderId="18" xfId="0" applyNumberFormat="1" applyFont="1" applyFill="1" applyBorder="1" applyAlignment="1">
      <x:alignment horizontal="center" vertical="center" wrapText="1"/>
    </x:xf>
    <x:xf numFmtId="0" fontId="11" fillId="12" borderId="0" xfId="0" applyNumberFormat="1" applyFont="1" applyFill="1" applyBorder="1" applyAlignment="1">
      <x:alignment wrapText="1"/>
    </x:xf>
    <x:xf numFmtId="0" fontId="3" fillId="12" borderId="0" xfId="0" applyNumberFormat="1" applyFont="1" applyFill="1" applyBorder="1" applyAlignment="1">
      <x:alignment wrapText="1"/>
    </x:xf>
    <x:xf numFmtId="0" fontId="3" fillId="12" borderId="0" xfId="0" applyNumberFormat="1" applyFont="1" applyFill="1" applyBorder="1" applyAlignment="1">
      <x:alignment horizontal="center" wrapText="1"/>
    </x:xf>
    <x:xf numFmtId="0" fontId="3" fillId="12" borderId="0" xfId="0" applyNumberFormat="1" applyFont="1" applyFill="1" applyBorder="1" applyAlignment="1">
      <x:alignment horizontal="center" vertical="center" wrapText="1"/>
    </x:xf>
    <x:xf numFmtId="0" fontId="12" fillId="0" borderId="24" xfId="0" applyNumberFormat="1" applyFont="1" applyFill="1" applyBorder="1" applyAlignment="1">
      <x:alignment horizontal="center" vertical="center" wrapText="1"/>
    </x:xf>
    <x:xf numFmtId="0" fontId="12" fillId="0" borderId="25" xfId="0" applyNumberFormat="1" applyFont="1" applyFill="1" applyBorder="1" applyAlignment="1">
      <x:alignment horizontal="center" vertical="center" wrapText="1"/>
    </x:xf>
    <x:xf numFmtId="0" fontId="12" fillId="0" borderId="27" xfId="0" applyNumberFormat="1" applyFont="1" applyFill="1" applyBorder="1" applyAlignment="1">
      <x:alignment horizontal="center" vertical="center" wrapText="1"/>
    </x:xf>
    <x:xf numFmtId="0" fontId="12" fillId="0" borderId="28" xfId="0" applyNumberFormat="1" applyFont="1" applyFill="1" applyBorder="1" applyAlignment="1">
      <x:alignment horizontal="center" vertical="center" wrapText="1"/>
    </x:xf>
    <x:xf numFmtId="0" fontId="12" fillId="0" borderId="30" xfId="0" applyNumberFormat="1" applyFont="1" applyFill="1" applyBorder="1" applyAlignment="1">
      <x:alignment horizontal="center" vertical="center" wrapText="1"/>
    </x:xf>
    <x:xf numFmtId="0" fontId="12" fillId="0" borderId="31" xfId="0" applyNumberFormat="1" applyFont="1" applyFill="1" applyBorder="1" applyAlignment="1">
      <x:alignment horizontal="center" vertical="center" wrapText="1"/>
    </x:xf>
    <x:xf numFmtId="0" fontId="12" fillId="0" borderId="25" xfId="0" applyNumberFormat="1" applyFont="1" applyFill="1" applyBorder="1" applyAlignment="1">
      <x:alignment vertical="center" wrapText="1"/>
    </x:xf>
    <x:xf numFmtId="0" fontId="12" fillId="0" borderId="28" xfId="0" applyNumberFormat="1" applyFont="1" applyFill="1" applyBorder="1" applyAlignment="1">
      <x:alignment vertical="center" wrapText="1"/>
    </x:xf>
    <x:xf numFmtId="0" fontId="12" fillId="0" borderId="31" xfId="0" applyNumberFormat="1" applyFont="1" applyFill="1" applyBorder="1" applyAlignment="1">
      <x:alignment vertical="center" wrapText="1"/>
    </x:xf>
    <x:xf numFmtId="0" fontId="12" fillId="13" borderId="25" xfId="0" applyNumberFormat="1" applyFont="1" applyFill="1" applyBorder="1" applyAlignment="1">
      <x:alignment horizontal="center" vertical="center" wrapText="1"/>
    </x:xf>
    <x:xf numFmtId="0" fontId="12" fillId="14" borderId="25" xfId="0" applyNumberFormat="1" applyFont="1" applyFill="1" applyBorder="1" applyAlignment="1">
      <x:alignment horizontal="center" vertical="center" wrapText="1"/>
    </x:xf>
    <x:xf numFmtId="0" fontId="12" fillId="14" borderId="28" xfId="0" applyNumberFormat="1" applyFont="1" applyFill="1" applyBorder="1" applyAlignment="1">
      <x:alignment horizontal="center" vertical="center" wrapText="1"/>
    </x:xf>
    <x:xf numFmtId="0" fontId="12" fillId="15" borderId="28" xfId="0" applyNumberFormat="1" applyFont="1" applyFill="1" applyBorder="1" applyAlignment="1">
      <x:alignment horizontal="center" vertical="center" wrapText="1"/>
    </x:xf>
    <x:xf numFmtId="0" fontId="12" fillId="16" borderId="28" xfId="0" applyNumberFormat="1" applyFont="1" applyFill="1" applyBorder="1" applyAlignment="1">
      <x:alignment horizontal="center" vertical="center" wrapText="1"/>
    </x:xf>
    <x:xf numFmtId="0" fontId="12" fillId="17" borderId="28" xfId="0" applyNumberFormat="1" applyFont="1" applyFill="1" applyBorder="1" applyAlignment="1">
      <x:alignment horizontal="center" vertical="center" wrapText="1"/>
    </x:xf>
    <x:xf numFmtId="0" fontId="12" fillId="14" borderId="31" xfId="0" applyNumberFormat="1" applyFont="1" applyFill="1" applyBorder="1" applyAlignment="1">
      <x:alignment horizontal="center" vertical="center" wrapText="1"/>
    </x:xf>
    <x:xf numFmtId="0" fontId="1" fillId="18" borderId="0" xfId="0" applyNumberFormat="1" applyFont="1" applyFill="1" applyBorder="1" applyAlignment="1">
      <x:alignment horizontal="center" vertical="center"/>
    </x:xf>
    <x:xf numFmtId="0" fontId="2" fillId="19" borderId="0" xfId="0" applyNumberFormat="1" applyFont="1" applyFill="1" applyBorder="1" applyAlignment="1">
      <x:alignment horizontal="center" vertical="center"/>
    </x:xf>
    <x:xf numFmtId="0" fontId="13" fillId="19" borderId="0" xfId="0" applyNumberFormat="1" applyFont="1" applyFill="1" applyBorder="1" applyAlignment="1">
      <x:alignment horizontal="center" vertical="center"/>
    </x:xf>
    <x:xf numFmtId="0" fontId="13" fillId="19" borderId="0" xfId="0" applyNumberFormat="1" applyFont="1" applyFill="1" applyBorder="1" applyAlignment="1">
      <x:alignment horizontal="center" vertical="center" wrapText="1"/>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horizontal="center"/>
    </x:xf>
    <x:xf numFmtId="0" fontId="1" fillId="20" borderId="0" xfId="0" applyNumberFormat="1" applyFont="1" applyFill="1" applyBorder="1" applyAlignment="1">
      <x:alignment horizontal="center" vertical="center"/>
    </x:xf>
    <x:xf numFmtId="0" fontId="0" fillId="21" borderId="0" xfId="0" applyNumberFormat="1" applyFont="1" applyFill="1" applyBorder="1"/>
    <x:xf numFmtId="0" fontId="14" fillId="21" borderId="0" xfId="0" applyNumberFormat="1" applyFont="1" applyFill="1" applyBorder="1"/>
    <x:xf numFmtId="0" fontId="14" fillId="21" borderId="0" xfId="0" applyNumberFormat="1" applyFont="1" applyFill="1" applyBorder="1" applyAlignment="1">
      <x:alignment wrapText="1"/>
    </x:xf>
    <x:xf numFmtId="0" fontId="14" fillId="21" borderId="0" xfId="0" applyNumberFormat="1" applyFont="1" applyFill="1" applyBorder="1" applyAlignment="1">
      <x:alignment horizontal="left" wrapText="1"/>
    </x:xf>
    <x:xf numFmtId="0" fontId="14" fillId="21" borderId="0" xfId="0" applyNumberFormat="1" applyFont="1" applyFill="1" applyBorder="1" applyAlignment="1">
      <x:alignment horizontal="left" vertical="center" wrapText="1"/>
    </x:xf>
    <x:xf numFmtId="0" fontId="0" fillId="22" borderId="0" xfId="0" applyNumberFormat="1" applyFont="1" applyFill="1" applyBorder="1"/>
    <x:xf numFmtId="0" fontId="11" fillId="22" borderId="0" xfId="0" applyNumberFormat="1" applyFont="1" applyFill="1" applyBorder="1"/>
    <x:xf numFmtId="0" fontId="11" fillId="22" borderId="0" xfId="0" applyNumberFormat="1" applyFont="1" applyFill="1" applyBorder="1" applyAlignment="1">
      <x:alignment wrapText="1"/>
    </x:xf>
    <x:xf numFmtId="0" fontId="11" fillId="22" borderId="0" xfId="0" applyNumberFormat="1" applyFont="1" applyFill="1" applyBorder="1" applyAlignment="1">
      <x:alignment horizontal="center" wrapText="1"/>
    </x:xf>
    <x:xf numFmtId="0" fontId="11" fillId="22" borderId="0" xfId="0" applyNumberFormat="1" applyFont="1" applyFill="1" applyBorder="1" applyAlignment="1">
      <x:alignment horizontal="center" vertical="center" wrapText="1"/>
    </x:xf>
    <x:xf numFmtId="0" fontId="7" fillId="6" borderId="1"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12" fillId="0" borderId="0" xfId="0" applyNumberFormat="1" applyFont="1" applyFill="1" applyBorder="1" applyAlignment="1">
      <x:alignment horizontal="center" vertical="center" wrapText="1"/>
    </x:xf>
    <x:xf numFmtId="0" fontId="12" fillId="7" borderId="0" xfId="0" applyNumberFormat="1" applyFont="1" applyFill="1" applyBorder="1" applyAlignment="1">
      <x:alignment horizontal="center" vertical="center" wrapText="1"/>
    </x:xf>
    <x:xf numFmtId="0" fontId="12" fillId="14" borderId="0" xfId="0" applyNumberFormat="1" applyFont="1" applyFill="1" applyBorder="1" applyAlignment="1">
      <x:alignment horizontal="center" vertical="center" wrapText="1"/>
    </x:xf>
    <x:xf numFmtId="0" fontId="12" fillId="15" borderId="0" xfId="0" applyNumberFormat="1" applyFont="1" applyFill="1" applyBorder="1" applyAlignment="1">
      <x:alignment horizontal="center" vertical="center" wrapText="1"/>
    </x:xf>
    <x:xf numFmtId="0" fontId="12" fillId="16" borderId="0" xfId="0" applyNumberFormat="1" applyFont="1" applyFill="1" applyBorder="1" applyAlignment="1">
      <x:alignment horizontal="center" vertical="center" wrapText="1"/>
    </x:xf>
    <x:xf numFmtId="0" fontId="12" fillId="17" borderId="0" xfId="0" applyNumberFormat="1" applyFont="1" applyFill="1" applyBorder="1" applyAlignment="1">
      <x:alignment horizontal="center" vertical="center" wrapText="1"/>
    </x:xf>
    <x:xf numFmtId="0" fontId="5" fillId="0" borderId="20" xfId="0" applyNumberFormat="1" applyFont="1" applyFill="1" applyBorder="1" applyAlignment="1">
      <x:alignment vertical="top" wrapText="1"/>
    </x:xf>
    <x:xf numFmtId="0" fontId="5" fillId="0" borderId="23" xfId="0" applyNumberFormat="1" applyFont="1" applyFill="1" applyBorder="1" applyAlignment="1">
      <x:alignment vertical="top" wrapText="1"/>
    </x:xf>
  </x:cellXfs>
  <x:cellStyles count="2">
    <x:cellStyle name="Hyperlink" xfId="1"/>
    <x:cellStyle name="Normal" xfId="0"/>
  </x:cellStyles>
  <x:dxfs count="90">
    <x:dxf>
      <x:font>
        <x:color rgb="FF595959"/>
      </x:font>
      <x:fill>
        <x:patternFill>
          <x:bgColor rgb="FFE7E6E6"/>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C0006"/>
      </x:font>
      <x:fill>
        <x:patternFill>
          <x:bgColor rgb="FFF4CCCC"/>
        </x:patternFill>
      </x:fill>
    </x:dxf>
    <x:dxf>
      <x:font>
        <x:b/>
        <x:color rgb="FF9C0006"/>
      </x:font>
      <x:fill>
        <x:patternFill>
          <x:bgColor rgb="FFF4CCCC"/>
        </x:patternFill>
      </x:fill>
    </x:dxf>
    <x:dxf>
      <x:font>
        <x:b/>
        <x:color rgb="FF9C5700"/>
      </x:font>
      <x:fill>
        <x:patternFill>
          <x:bgColor rgb="FFFCE4D6"/>
        </x:patternFill>
      </x:fill>
    </x:dxf>
    <x:dxf>
      <x:font>
        <x:b/>
        <x:color rgb="FF7F6000"/>
      </x:font>
      <x:fill>
        <x:patternFill>
          <x:bgColor rgb="FFFFF2C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b/>
        <x:color rgb="FF375623"/>
      </x:font>
      <x:fill>
        <x:patternFill>
          <x:bgColor rgb="FFE2F0D9"/>
        </x:patternFill>
      </x:fill>
    </x:dxf>
    <x:dxf>
      <x:font>
        <x:b/>
        <x:color rgb="FF9C0006"/>
      </x:font>
      <x:fill>
        <x:patternFill>
          <x:bgColor rgb="FFF4CCCC"/>
        </x:patternFill>
      </x:fill>
    </x:dxf>
    <x:dxf>
      <x:font>
        <x:b/>
        <x:color rgb="FF9C0006"/>
      </x:font>
      <x:fill>
        <x:patternFill>
          <x:bgColor rgb="FFF4CCCC"/>
        </x:patternFill>
      </x:fill>
    </x:dxf>
    <x:dxf>
      <x:font>
        <x:b/>
        <x:color rgb="FF9C5700"/>
      </x:font>
      <x:fill>
        <x:patternFill>
          <x:bgColor rgb="FFFCE4D6"/>
        </x:patternFill>
      </x:fill>
    </x:dxf>
    <x:dxf>
      <x:font>
        <x:b/>
        <x:color rgb="FF7F6000"/>
      </x:font>
      <x:fill>
        <x:patternFill>
          <x:bgColor rgb="FFFFF2C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b/>
        <x:color rgb="FF9C5700"/>
      </x:font>
      <x:fill>
        <x:patternFill>
          <x:bgColor rgb="FFFCE4D6"/>
        </x:patternFill>
      </x:fill>
    </x:dxf>
    <x:dxf>
      <x:font>
        <x:b/>
        <x:color rgb="FF9C6500"/>
      </x:font>
      <x:fill>
        <x:patternFill>
          <x:bgColor rgb="FFFFEB9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b/>
        <x:color rgb="FF9C5700"/>
      </x:font>
      <x:fill>
        <x:patternFill>
          <x:bgColor rgb="FFFCE4D6"/>
        </x:patternFill>
      </x:fill>
    </x:dxf>
    <x:dxf>
      <x:font>
        <x:b/>
        <x:color rgb="FF9C6500"/>
      </x:font>
      <x:fill>
        <x:patternFill>
          <x:bgColor rgb="FFFFEB9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b/>
        <x:color rgb="FF9C5700"/>
      </x:font>
      <x:fill>
        <x:patternFill>
          <x:bgColor rgb="FFFCE4D6"/>
        </x:patternFill>
      </x:fill>
    </x:dxf>
    <x:dxf>
      <x:font>
        <x:b/>
        <x:color rgb="FF9C6500"/>
      </x:font>
      <x:fill>
        <x:patternFill>
          <x:bgColor rgb="FFFFEB9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b/>
        <x:color rgb="FF9C5700"/>
      </x:font>
      <x:fill>
        <x:patternFill>
          <x:bgColor rgb="FFFCE4D6"/>
        </x:patternFill>
      </x:fill>
    </x:dxf>
    <x:dxf>
      <x:font>
        <x:b/>
        <x:color rgb="FF9C6500"/>
      </x:font>
      <x:fill>
        <x:patternFill>
          <x:bgColor rgb="FFFFEB9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b/>
        <x:color rgb="FF9C5700"/>
      </x:font>
      <x:fill>
        <x:patternFill>
          <x:bgColor rgb="FFFCE4D6"/>
        </x:patternFill>
      </x:fill>
    </x:dxf>
    <x:dxf>
      <x:font>
        <x:b/>
        <x:color rgb="FF9C6500"/>
      </x:font>
      <x:fill>
        <x:patternFill>
          <x:bgColor rgb="FFFFEB9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b/>
        <x:color rgb="FF9C5700"/>
      </x:font>
      <x:fill>
        <x:patternFill>
          <x:bgColor rgb="FFFCE4D6"/>
        </x:patternFill>
      </x:fill>
    </x:dxf>
    <x:dxf>
      <x:font>
        <x:b/>
        <x:color rgb="FF9C6500"/>
      </x:font>
      <x:fill>
        <x:patternFill>
          <x:bgColor rgb="FFFFEB9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b/>
        <x:color rgb="FF9C5700"/>
      </x:font>
      <x:fill>
        <x:patternFill>
          <x:bgColor rgb="FFFCE4D6"/>
        </x:patternFill>
      </x:fill>
    </x:dxf>
    <x:dxf>
      <x:font>
        <x:b/>
        <x:color rgb="FF9C6500"/>
      </x:font>
      <x:fill>
        <x:patternFill>
          <x:bgColor rgb="FFFFEB9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b/>
        <x:color rgb="FF9C5700"/>
      </x:font>
      <x:fill>
        <x:patternFill>
          <x:bgColor rgb="FFFCE4D6"/>
        </x:patternFill>
      </x:fill>
    </x:dxf>
    <x:dxf>
      <x:font>
        <x:b/>
        <x:color rgb="FF9C6500"/>
      </x:font>
      <x:fill>
        <x:patternFill>
          <x:bgColor rgb="FFFFEB9C"/>
        </x:patternFill>
      </x:fill>
    </x:dxf>
    <x:dxf>
      <x:font>
        <x:color rgb="FF595959"/>
      </x:font>
      <x:fill>
        <x:patternFill>
          <x:bgColor rgb="FFE7E6E6"/>
        </x:patternFill>
      </x:fill>
    </x:dxf>
    <x:dxf>
      <x:font>
        <x:color rgb="FF595959"/>
      </x:font>
      <x:fill>
        <x:patternFill>
          <x:bgColor rgb="FFE7E6E6"/>
        </x:patternFill>
      </x:fill>
    </x:dxf>
    <x:dxf>
      <x:font>
        <x:color rgb="FF7F7F7F"/>
      </x:font>
      <x:fill>
        <x:patternFill>
          <x:bgColor rgb="FFF2F2F2"/>
        </x:patternFill>
      </x:fill>
    </x:dxf>
    <x:dxf>
      <x:font>
        <x:color rgb="FF166534"/>
      </x:font>
      <x:fill>
        <x:patternFill>
          <x:bgColor rgb="FFDCFCE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06a5dd417142a1" /><Relationship Type="http://schemas.openxmlformats.org/officeDocument/2006/relationships/theme" Target="/xl/theme/theme1.xml" Id="R0234cce16c1d4e83" /><Relationship Type="http://schemas.openxmlformats.org/officeDocument/2006/relationships/sharedStrings" Target="/xl/sharedStrings.xml" Id="Rfa453e20fd98494e" /><Relationship Type="http://schemas.openxmlformats.org/officeDocument/2006/relationships/worksheet" Target="/xl/worksheets/sheet1.xml" Id="R56e8e386f27f41da" /><Relationship Type="http://schemas.openxmlformats.org/officeDocument/2006/relationships/worksheet" Target="/xl/worksheets/sheet2.xml" Id="R30264579887248b4" /><Relationship Type="http://schemas.openxmlformats.org/officeDocument/2006/relationships/worksheet" Target="/xl/worksheets/sheet3.xml" Id="R2a6eca20ec7c4472" /><Relationship Type="http://schemas.openxmlformats.org/officeDocument/2006/relationships/worksheet" Target="/xl/worksheets/sheet4.xml" Id="Rb5b9934d2bb44a62" /><Relationship Type="http://schemas.openxmlformats.org/officeDocument/2006/relationships/worksheet" Target="/xl/worksheets/sheet5.xml" Id="R0c0bdc12b1eb418a" /></Relationships>
</file>

<file path=xl/drawings/_rels/drawing1.xml.rels>&#65279;<?xml version="1.0" encoding="utf-8"?><Relationships xmlns="http://schemas.openxmlformats.org/package/2006/relationships"><Relationship Type="http://schemas.openxmlformats.org/officeDocument/2006/relationships/chart" Target="/xl/drawings/charts/chart1.xml" Id="Rd1742cb2ebb24793"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Overall Requirement Coverage</a:t>
            </a:r>
          </a:p>
        </c:rich>
      </c:tx>
      <c:overlay val="0"/>
    </c:title>
    <c:autoTitleDeleted val="0"/>
    <c:plotArea>
      <c:barChart>
        <c:barDir val="col"/>
        <c:grouping val="clustered"/>
        <c:varyColors val="0"/>
        <c:ser>
          <c:idx val="0"/>
          <c:order val="0"/>
          <c:tx>
            <c:v>Count</c:v>
          </c:tx>
          <c:cat>
            <c:strRef>
              <c:f>Overview!$A$9:$A$11</c:f>
              <c:strCache>
                <c:ptCount val="3"/>
                <c:pt idx="0">
                  <c:v>Fully Covered</c:v>
                </c:pt>
                <c:pt idx="1">
                  <c:v>Partially Covered</c:v>
                </c:pt>
                <c:pt idx="2">
                  <c:v>Not Covered</c:v>
                </c:pt>
              </c:strCache>
            </c:strRef>
          </c:cat>
          <c:val>
            <c:numRef>
              <c:f>Overview!$B$9:$B$11</c:f>
              <c:numCache>
                <c:formatCode>General</c:formatCode>
                <c:ptCount val="3"/>
                <c:pt idx="0">
                  <c:v>31</c:v>
                </c:pt>
                <c:pt idx="1">
                  <c:v>1</c:v>
                </c:pt>
                <c:pt idx="2">
                  <c:v>12</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13</xdr:col>
      <xdr:colOff>965200</xdr:colOff>
      <xdr:row>18</xdr:row>
      <xdr:rowOff>12700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742cb2ebb24793"/>
        </a:graphicData>
      </a:graphic>
    </xdr:graphicFrame>
    <xdr:clientData/>
  </xdr:twoCellAnchor>
</xdr:wsDr>
</file>

<file path=xl/tables/table1.xml><?xml version="1.0" encoding="utf-8"?>
<x:table xmlns:x="http://schemas.openxmlformats.org/spreadsheetml/2006/main" id="4" name="RequirementsTraceability" displayName="RequirementsTraceability" ref="A7:R51" headerRowCount="1">
  <x:autoFilter ref="A7:R51"/>
  <x:tableColumns count="18">
    <x:tableColumn id="1" name="Requirement ID"/>
    <x:tableColumn id="2" name="Requirement Source"/>
    <x:tableColumn id="3" name="Source Scenario ID"/>
    <x:tableColumn id="4" name="Feature"/>
    <x:tableColumn id="5" name="Requirement / Scenario"/>
    <x:tableColumn id="6" name="Mapped Test Case ID(s)"/>
    <x:tableColumn id="7" name="Coverage Status"/>
    <x:tableColumn id="8" name="Coverage Rationale"/>
    <x:tableColumn id="9" name="Test Type"/>
    <x:tableColumn id="10" name="Priority"/>
    <x:tableColumn id="11" name="Execution Environment"/>
    <x:tableColumn id="12" name="Manual Result"/>
    <x:tableColumn id="13" name="Postman Result"/>
    <x:tableColumn id="14" name="Playwright Result"/>
    <x:tableColumn id="15" name="Overall Execution Status"/>
    <x:tableColumn id="16" name="Evidence Reference(s)"/>
    <x:tableColumn id="17" name="Defect ID(s)"/>
    <x:tableColumn id="18" name="Gap / Reconciliation Note"/>
  </x:tableColumns>
  <x:tableStyleInfo name="TableStyleMedium2" showRowStripes="1"/>
</x:table>
</file>

<file path=xl/tables/table2.xml><?xml version="1.0" encoding="utf-8"?>
<x:table xmlns:x="http://schemas.openxmlformats.org/spreadsheetml/2006/main" id="2" name="SourceScenarioRegister" displayName="SourceScenarioRegister" ref="A4:D30">
  <x:autoFilter ref="A4:D30"/>
  <x:tableColumns count="4">
    <x:tableColumn id="1" name="Source Scenario ID"/>
    <x:tableColumn id="2" name="Exact Scenario Title"/>
    <x:tableColumn id="3" name="Step Count"/>
    <x:tableColumn id="4" name="Exact Source Steps"/>
  </x:tableColumns>
  <x:tableStyleInfo name="TableStyleMedium2" showRowStripes="1"/>
</x:table>
</file>

<file path=xl/tables/table3.xml><?xml version="1.0" encoding="utf-8"?>
<x:table xmlns:x="http://schemas.openxmlformats.org/spreadsheetml/2006/main" id="3" name="OfficialApiScenarios" displayName="OfficialApiScenarios" ref="A4:H18">
  <x:autoFilter ref="A4:H18"/>
  <x:tableColumns count="8">
    <x:tableColumn id="1" name="Source API ID"/>
    <x:tableColumn id="2" name="Exact Scenario Title"/>
    <x:tableColumn id="3" name="API URL"/>
    <x:tableColumn id="4" name="Request Method"/>
    <x:tableColumn id="5" name="Exact Request Parameter(s)"/>
    <x:tableColumn id="6" name="Response Code"/>
    <x:tableColumn id="7" name="Response Type"/>
    <x:tableColumn id="8" name="Exact Expected Response"/>
  </x:tableColumns>
  <x:tableStyleInfo name="TableStyleMedium2" showRowStripes="1"/>
</x:table>
</file>

<file path=xl/tables/table4.xml><?xml version="1.0" encoding="utf-8"?>
<x:table xmlns:x="http://schemas.openxmlformats.org/spreadsheetml/2006/main" id="5" name="JiraSyncTable" displayName="JiraSyncTable" ref="A4:N122" headerRowCount="1">
  <x:tableColumns count="14">
    <x:tableColumn id="1" name="Jira Key"/>
    <x:tableColumn id="2" name="Work Type"/>
    <x:tableColumn id="3" name="Summary"/>
    <x:tableColumn id="4" name="Workflow Status"/>
    <x:tableColumn id="5" name="Priority"/>
    <x:tableColumn id="6" name="Assignee"/>
    <x:tableColumn id="7" name="Requirement ID"/>
    <x:tableColumn id="8" name="Test Case ID"/>
    <x:tableColumn id="9" name="Defect ID"/>
    <x:tableColumn id="10" name="Execution Status"/>
    <x:tableColumn id="11" name="Automation Status"/>
    <x:tableColumn id="12" name="Testing Link(s)"/>
    <x:tableColumn id="13" name="Parent Key"/>
    <x:tableColumn id="14" name="Jira Updat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7c505957ba24ed8" /></Relationships>
</file>

<file path=xl/worksheets/_rels/sheet2.xml.rels>&#65279;<?xml version="1.0" encoding="utf-8"?><Relationships xmlns="http://schemas.openxmlformats.org/package/2006/relationships"><Relationship Type="http://schemas.openxmlformats.org/officeDocument/2006/relationships/table" Target="/xl/tables/table1.xml" Id="R686395056909448a" /></Relationships>
</file>

<file path=xl/worksheets/_rels/sheet3.xml.rels>&#65279;<?xml version="1.0" encoding="utf-8"?><Relationships xmlns="http://schemas.openxmlformats.org/package/2006/relationships"><Relationship Type="http://schemas.openxmlformats.org/officeDocument/2006/relationships/table" Target="/xl/tables/table2.xml" Id="Rfc6391d83bfc461d" /></Relationships>
</file>

<file path=xl/worksheets/_rels/sheet4.xml.rels>&#65279;<?xml version="1.0" encoding="utf-8"?><Relationships xmlns="http://schemas.openxmlformats.org/package/2006/relationships"><Relationship Type="http://schemas.openxmlformats.org/officeDocument/2006/relationships/table" Target="/xl/tables/table3.xml" Id="R9dc2c45f69ce4abf" /></Relationships>
</file>

<file path=xl/worksheets/_rels/sheet5.xml.rels>&#65279;<?xml version="1.0" encoding="utf-8"?><Relationships xmlns="http://schemas.openxmlformats.org/package/2006/relationships"><Relationship Type="http://schemas.openxmlformats.org/officeDocument/2006/relationships/table" Target="/xl/tables/table4.xml" Id="R5c4b47c8de0c48a3" /></Relationships>
</file>

<file path=xl/worksheets/sheet1.xml><?xml version="1.0" encoding="utf-8"?>
<x:worksheet xmlns:x="http://schemas.openxmlformats.org/spreadsheetml/2006/main">
  <x:sheetViews>
    <x:sheetView showGridLines="0" workbookViewId="0"/>
  </x:sheetViews>
  <x:sheetFormatPr defaultRowHeight="14"/>
  <x:cols>
    <x:col min="1" max="1" width="22" customWidth="1"/>
    <x:col min="2" max="2" width="14" customWidth="1"/>
    <x:col min="3" max="5" width="18" customWidth="1"/>
    <x:col min="6" max="14" width="13" customWidth="1"/>
  </x:cols>
  <x:sheetData>
    <x:row r="1" ht="25.5" customHeight="1">
      <x:c r="A1" s="122" t="str">
        <x:v>Automation Exercise | Requirements Traceability Matrix</x:v>
      </x:c>
      <x:c r="B1" s="122"/>
      <x:c r="C1" s="122"/>
      <x:c r="D1" s="122"/>
      <x:c r="E1" s="122"/>
      <x:c r="F1" s="122"/>
      <x:c r="G1" s="122"/>
      <x:c r="H1" s="122"/>
      <x:c r="I1" s="122"/>
      <x:c r="J1" s="122"/>
      <x:c r="K1" s="122"/>
      <x:c r="L1" s="122"/>
      <x:c r="M1" s="122"/>
      <x:c r="N1" s="38"/>
    </x:row>
    <x:row r="2" ht="22.5" customHeight="1">
      <x:c r="A2" s="125" t="str">
        <x:v>Traceability across 44 portfolio requirements and 53 Jira Test Cases, synchronized with Jira Cloud through 2026-08-17</x:v>
      </x:c>
      <x:c r="B2" s="125"/>
      <x:c r="C2" s="125"/>
      <x:c r="D2" s="125"/>
      <x:c r="E2" s="125"/>
      <x:c r="F2" s="125"/>
      <x:c r="G2" s="125"/>
      <x:c r="H2" s="125"/>
      <x:c r="I2" s="125"/>
      <x:c r="J2" s="125"/>
      <x:c r="K2" s="125"/>
      <x:c r="L2" s="125"/>
      <x:c r="M2" s="125"/>
      <x:c r="N2" s="39"/>
    </x:row>
    <x:row r="4">
      <x:c r="A4" s="40" t="s">
        <x:v>0</x:v>
      </x:c>
      <x:c r="B4" s="40"/>
      <x:c r="C4" s="40"/>
      <x:c r="E4" s="40" t="s">
        <x:v>1</x:v>
      </x:c>
      <x:c r="F4" s="40"/>
      <x:c r="G4" s="40"/>
      <x:c r="I4" s="40" t="s">
        <x:v>2</x:v>
      </x:c>
      <x:c r="J4" s="40"/>
      <x:c r="K4" s="40"/>
      <x:c r="M4" s="40" t="s">
        <x:v>3</x:v>
      </x:c>
      <x:c r="N4" s="40"/>
    </x:row>
    <x:row r="5">
      <x:c r="A5" s="41" t="n">
        <x:f>COUNTA(RTM!$A$8:$A$51)</x:f>
        <x:v>44</x:v>
      </x:c>
      <x:c r="B5" s="42"/>
      <x:c r="C5" s="43"/>
      <x:c r="E5" s="41" t="n">
        <x:f>COUNTIF(RTM!$G$8:$G$51,"Fully Covered")</x:f>
        <x:v>44</x:v>
      </x:c>
      <x:c r="F5" s="42"/>
      <x:c r="G5" s="43"/>
      <x:c r="I5" s="41" t="n">
        <x:f>COUNTIF(RTM!$G$8:$G$51,"Partially Covered")</x:f>
        <x:v>0</x:v>
      </x:c>
      <x:c r="J5" s="42"/>
      <x:c r="K5" s="43"/>
      <x:c r="M5" s="41" t="n">
        <x:f>COUNTIF(RTM!$G$8:$G$51,"Not Covered")</x:f>
        <x:v>0</x:v>
      </x:c>
      <x:c r="N5" s="43"/>
    </x:row>
    <x:row r="6">
      <x:c r="A6" s="44"/>
      <x:c r="B6" s="45"/>
      <x:c r="C6" s="46"/>
      <x:c r="E6" s="44"/>
      <x:c r="F6" s="45"/>
      <x:c r="G6" s="46"/>
      <x:c r="I6" s="44"/>
      <x:c r="J6" s="45"/>
      <x:c r="K6" s="46"/>
      <x:c r="M6" s="44"/>
      <x:c r="N6" s="46"/>
    </x:row>
    <x:row r="8">
      <x:c r="A8" s="17" t="s">
        <x:v>4</x:v>
      </x:c>
      <x:c r="B8" s="17" t="s">
        <x:v>5</x:v>
      </x:c>
      <x:c r="C8" s="17" t="s">
        <x:v>6</x:v>
      </x:c>
      <x:c r="D8" s="17" t="s">
        <x:v>7</x:v>
      </x:c>
      <x:c r="E8" s="17" t="s">
        <x:v>8</x:v>
      </x:c>
    </x:row>
    <x:row r="9">
      <x:c r="A9" s="18" t="s">
        <x:v>1</x:v>
      </x:c>
      <x:c r="B9" s="18" t="n">
        <x:f>COUNTIF(RTM!$G$8:$G$51,$A9)</x:f>
        <x:v>44</x:v>
      </x:c>
      <x:c r="C9" s="18" t="n">
        <x:f>COUNTIFS(RTM!$G$8:$G$51,$A9,RTM!$B$8:$B$51,"Site Scenario")</x:f>
        <x:v>26</x:v>
      </x:c>
      <x:c r="D9" s="18" t="n">
        <x:f>COUNTIFS(RTM!$G$8:$G$51,$A9,RTM!$B$8:$B$51,"Site API Scenario")</x:f>
        <x:v>14</x:v>
      </x:c>
      <x:c r="E9" s="18" t="n">
        <x:f>COUNTIFS(RTM!$G$8:$G$51,$A9,RTM!$B$8:$B$51,"Tester-Derived")</x:f>
        <x:v>4</x:v>
      </x:c>
    </x:row>
    <x:row r="10">
      <x:c r="A10" s="18" t="s">
        <x:v>2</x:v>
      </x:c>
      <x:c r="B10" s="18" t="n">
        <x:f>COUNTIF(RTM!$G$8:$G$51,$A10)</x:f>
        <x:v>0</x:v>
      </x:c>
      <x:c r="C10" s="18" t="n">
        <x:f>COUNTIFS(RTM!$G$8:$G$51,$A10,RTM!$B$8:$B$51,"Site Scenario")</x:f>
        <x:v>0</x:v>
      </x:c>
      <x:c r="D10" s="18" t="n">
        <x:f>COUNTIFS(RTM!$G$8:$G$51,$A10,RTM!$B$8:$B$51,"Site API Scenario")</x:f>
        <x:v>0</x:v>
      </x:c>
      <x:c r="E10" s="18" t="n">
        <x:f>COUNTIFS(RTM!$G$8:$G$51,$A10,RTM!$B$8:$B$51,"Tester-Derived")</x:f>
        <x:v>0</x:v>
      </x:c>
    </x:row>
    <x:row r="11">
      <x:c r="A11" s="18" t="s">
        <x:v>3</x:v>
      </x:c>
      <x:c r="B11" s="18" t="n">
        <x:f>COUNTIF(RTM!$G$8:$G$51,$A11)</x:f>
        <x:v>0</x:v>
      </x:c>
      <x:c r="C11" s="18" t="n">
        <x:f>COUNTIFS(RTM!$G$8:$G$51,$A11,RTM!$B$8:$B$51,"Site Scenario")</x:f>
        <x:v>0</x:v>
      </x:c>
      <x:c r="D11" s="18" t="n">
        <x:f>COUNTIFS(RTM!$G$8:$G$51,$A11,RTM!$B$8:$B$51,"Site API Scenario")</x:f>
        <x:v>0</x:v>
      </x:c>
      <x:c r="E11" s="18" t="n">
        <x:f>COUNTIFS(RTM!$G$8:$G$51,$A11,RTM!$B$8:$B$51,"Tester-Derived")</x:f>
        <x:v>0</x:v>
      </x:c>
    </x:row>
    <x:row r="14">
      <x:c r="A14" s="19" t="s">
        <x:v>9</x:v>
      </x:c>
      <x:c r="B14" s="19" t="s">
        <x:v>5</x:v>
      </x:c>
      <x:c r="C14" s="19" t="s">
        <x:v>10</x:v>
      </x:c>
      <x:c r="D14" s="19" t="s">
        <x:v>11</x:v>
      </x:c>
    </x:row>
    <x:row r="15" ht="37.5">
      <x:c r="A15" s="20" t="str">
        <x:v>Pass</x:v>
      </x:c>
      <x:c r="B15" s="20" t="n">
        <x:v>41</x:v>
      </x:c>
      <x:c r="C15" s="20" t="n">
        <x:f>0</x:f>
        <x:v>0</x:v>
      </x:c>
      <x:c r="D15" s="20" t="s">
        <x:v>12</x:v>
      </x:c>
    </x:row>
    <x:row r="16" ht="37.5">
      <x:c r="A16" s="20" t="str">
        <x:v>Fail</x:v>
      </x:c>
      <x:c r="B16" s="20" t="n">
        <x:v>2</x:v>
      </x:c>
      <x:c r="C16" s="20" t="n">
        <x:f>COUNTIF(RTM!O8:O107,"Fail")</x:f>
        <x:v>2</x:v>
      </x:c>
      <x:c r="D16" s="20" t="s">
        <x:v>13</x:v>
      </x:c>
    </x:row>
    <x:row r="17" ht="25">
      <x:c r="A17" s="20" t="str">
        <x:v>Not Run</x:v>
      </x:c>
      <x:c r="B17" s="20" t="n">
        <x:v>1</x:v>
      </x:c>
      <x:c r="C17" s="20" t="n">
        <x:f>0</x:f>
        <x:v>0</x:v>
      </x:c>
      <x:c r="D17" s="20" t="s">
        <x:v>14</x:v>
      </x:c>
    </x:row>
    <x:row r="20" ht="15.5">
      <x:c r="A20" s="28" t="s">
        <x:v>15</x:v>
      </x:c>
      <x:c r="B20" s="28"/>
      <x:c r="C20" s="28"/>
      <x:c r="D20" s="28"/>
      <x:c r="E20" s="28"/>
      <x:c r="F20" s="28"/>
      <x:c r="G20" s="28"/>
      <x:c r="H20" s="28"/>
      <x:c r="I20" s="28"/>
      <x:c r="J20" s="28"/>
      <x:c r="K20" s="28"/>
      <x:c r="L20" s="28"/>
      <x:c r="M20" s="28"/>
      <x:c r="N20" s="28"/>
    </x:row>
    <x:row r="21" ht="30" customHeight="1">
      <x:c r="A21" s="140" t="str">
        <x:v>Coverage design remains complete for all 44 portfolio requirements. Current requirement execution: 41 Pass, 2 Fail, and 1 Not Run. REQ-CART-005, REQ-ORDER-005, REQ-NAV-002, and REQ-NAV-003 are reconciled to their latest passing manual and automation results. AE-AUTO-NAV-003 / AEQA-128 remains Not Run and is not claimed as executed. All 14 official API requirements remain independently verified by Postman and Playwright.</x:v>
      </x:c>
      <x:c r="B21" s="141"/>
      <x:c r="C21" s="141"/>
      <x:c r="D21" s="141"/>
      <x:c r="E21" s="141"/>
      <x:c r="F21" s="141"/>
      <x:c r="G21" s="141"/>
      <x:c r="H21" s="141"/>
      <x:c r="I21" s="141"/>
      <x:c r="J21" s="141"/>
      <x:c r="K21" s="141"/>
      <x:c r="L21" s="141"/>
      <x:c r="M21" s="141"/>
      <x:c r="N21" s="142"/>
    </x:row>
    <x:row r="22" ht="30" customHeight="1">
      <x:c r="A22" s="32"/>
      <x:c r="B22" s="33"/>
      <x:c r="C22" s="33"/>
      <x:c r="D22" s="33"/>
      <x:c r="E22" s="33"/>
      <x:c r="F22" s="33"/>
      <x:c r="G22" s="33"/>
      <x:c r="H22" s="33"/>
      <x:c r="I22" s="33"/>
      <x:c r="J22" s="33"/>
      <x:c r="K22" s="33"/>
      <x:c r="L22" s="33"/>
      <x:c r="M22" s="33"/>
      <x:c r="N22" s="34"/>
    </x:row>
    <x:row r="23" ht="30" customHeight="1">
      <x:c r="A23" s="32"/>
      <x:c r="B23" s="33"/>
      <x:c r="C23" s="33"/>
      <x:c r="D23" s="33"/>
      <x:c r="E23" s="33"/>
      <x:c r="F23" s="33"/>
      <x:c r="G23" s="33"/>
      <x:c r="H23" s="33"/>
      <x:c r="I23" s="33"/>
      <x:c r="J23" s="33"/>
      <x:c r="K23" s="33"/>
      <x:c r="L23" s="33"/>
      <x:c r="M23" s="33"/>
      <x:c r="N23" s="34"/>
    </x:row>
    <x:row r="24" ht="30" customHeight="1">
      <x:c r="A24" s="32"/>
      <x:c r="B24" s="33"/>
      <x:c r="C24" s="33"/>
      <x:c r="D24" s="33"/>
      <x:c r="E24" s="33"/>
      <x:c r="F24" s="33"/>
      <x:c r="G24" s="33"/>
      <x:c r="H24" s="33"/>
      <x:c r="I24" s="33"/>
      <x:c r="J24" s="33"/>
      <x:c r="K24" s="33"/>
      <x:c r="L24" s="33"/>
      <x:c r="M24" s="33"/>
      <x:c r="N24" s="34"/>
    </x:row>
    <x:row r="25" ht="30" customHeight="1">
      <x:c r="A25" s="35"/>
      <x:c r="B25" s="36"/>
      <x:c r="C25" s="36"/>
      <x:c r="D25" s="36"/>
      <x:c r="E25" s="36"/>
      <x:c r="F25" s="36"/>
      <x:c r="G25" s="36"/>
      <x:c r="H25" s="36"/>
      <x:c r="I25" s="36"/>
      <x:c r="J25" s="36"/>
      <x:c r="K25" s="36"/>
      <x:c r="L25" s="36"/>
      <x:c r="M25" s="36"/>
      <x:c r="N25" s="37"/>
    </x:row>
  </x:sheetData>
  <x:mergeCells>
    <x:mergeCell ref="A20:N20"/>
    <x:mergeCell ref="A21:N25"/>
    <x:mergeCell ref="A4:C4"/>
    <x:mergeCell ref="A5:C6"/>
    <x:mergeCell ref="E4:G4"/>
    <x:mergeCell ref="E5:G6"/>
    <x:mergeCell ref="I4:K4"/>
    <x:mergeCell ref="I5:K6"/>
    <x:mergeCell ref="M4:N4"/>
    <x:mergeCell ref="M5:N6"/>
    <x:mergeCell ref="A1:M1"/>
    <x:mergeCell ref="A2:M2"/>
  </x:mergeCells>
  <x:pageMargins left="0.7" right="0.7" top="0.75" bottom="0.75" header="0.3" footer="0.3"/>
  <x:drawing xmlns:r="http://schemas.openxmlformats.org/officeDocument/2006/relationships" r:id="R57c505957ba24ed8"/>
</x:worksheet>
</file>

<file path=xl/worksheets/sheet2.xml><?xml version="1.0" encoding="utf-8"?>
<x:worksheet xmlns:x="http://schemas.openxmlformats.org/spreadsheetml/2006/main">
  <x:sheetViews>
    <x:sheetView showGridLines="0" workbookViewId="0"/>
  </x:sheetViews>
  <x:sheetFormatPr defaultRowHeight="14"/>
  <x:cols>
    <x:col min="1" max="3" width="18" customWidth="1"/>
    <x:col min="4" max="4" width="19" hidden="0" customWidth="1"/>
    <x:col min="5" max="5" width="31" hidden="0" customWidth="1"/>
    <x:col min="6" max="6" width="24" hidden="0" customWidth="1"/>
    <x:col min="7" max="7" width="18" hidden="0" customWidth="1"/>
    <x:col min="8" max="8" width="43" hidden="0" customWidth="1"/>
    <x:col min="9" max="9" width="21" hidden="0" customWidth="1"/>
    <x:col min="10" max="10" width="12" hidden="0" customWidth="1"/>
    <x:col min="11" max="11" width="27" hidden="0" customWidth="1"/>
    <x:col min="12" max="12" width="17" hidden="0" customWidth="1"/>
    <x:col min="13" max="13" width="36" hidden="0" customWidth="1"/>
    <x:col min="14" max="14" width="20" hidden="0" customWidth="1"/>
    <x:col min="15" max="15" width="20" hidden="0" customWidth="1"/>
    <x:col min="16" max="16" width="44" hidden="0" customWidth="1"/>
    <x:col min="17" max="17" width="19" hidden="0" customWidth="1"/>
    <x:col min="18" max="18" width="50" hidden="0" customWidth="1"/>
    <x:col min="1" max="1" width="18" hidden="0" customWidth="1"/>
    <x:col min="2" max="2" width="19" hidden="0" customWidth="1"/>
    <x:col min="3" max="3" width="16" hidden="0" customWidth="1"/>
  </x:cols>
  <x:sheetData>
    <x:row r="1" ht="36" customHeight="1">
      <x:c r="A1" s="38" t="s">
        <x:v>16</x:v>
      </x:c>
      <x:c r="B1" s="38"/>
      <x:c r="C1" s="38"/>
      <x:c r="D1" s="38"/>
      <x:c r="E1" s="38"/>
      <x:c r="F1" s="38"/>
      <x:c r="G1" s="38"/>
      <x:c r="H1" s="38"/>
      <x:c r="I1" s="38"/>
      <x:c r="J1" s="38"/>
      <x:c r="K1" s="38"/>
      <x:c r="L1" s="38"/>
      <x:c r="M1" s="38"/>
    </x:row>
    <x:row r="2" ht="24" customHeight="1">
      <x:c r="A2" s="39" t="str">
        <x:v>Coverage synchronized with 53 Jira Test Cases through 2026-08-17; Jira workflow and test execution status remain independently reconciled</x:v>
      </x:c>
      <x:c r="B2" s="39"/>
      <x:c r="C2" s="39"/>
      <x:c r="D2" s="39"/>
      <x:c r="E2" s="39"/>
      <x:c r="F2" s="39"/>
      <x:c r="G2" s="39"/>
      <x:c r="H2" s="39"/>
      <x:c r="I2" s="39"/>
      <x:c r="J2" s="39"/>
      <x:c r="K2" s="39"/>
      <x:c r="L2" s="39"/>
      <x:c r="M2" s="39"/>
      <x:c r="N2"/>
      <x:c r="O2"/>
      <x:c r="P2"/>
      <x:c r="Q2"/>
      <x:c r="R2"/>
    </x:row>
    <x:row r="4">
      <x:c r="A4" s="47" t="s">
        <x:v>17</x:v>
      </x:c>
      <x:c r="B4" s="48"/>
      <x:c r="C4" s="48"/>
      <x:c r="D4" s="48"/>
      <x:c r="E4" s="48"/>
      <x:c r="F4" s="48"/>
      <x:c r="G4" s="48"/>
      <x:c r="H4" s="48"/>
      <x:c r="I4" s="48"/>
      <x:c r="J4" s="48"/>
      <x:c r="K4" s="48"/>
      <x:c r="L4" s="48"/>
      <x:c r="M4" s="49"/>
    </x:row>
    <x:row r="5">
      <x:c r="A5" s="50"/>
      <x:c r="B5" s="51"/>
      <x:c r="C5" s="51"/>
      <x:c r="D5" s="51"/>
      <x:c r="E5" s="51"/>
      <x:c r="F5" s="51"/>
      <x:c r="G5" s="51"/>
      <x:c r="H5" s="51"/>
      <x:c r="I5" s="51"/>
      <x:c r="J5" s="51"/>
      <x:c r="K5" s="51"/>
      <x:c r="L5" s="51"/>
      <x:c r="M5" s="52"/>
    </x:row>
    <x:row r="7" ht="34" customHeight="1">
      <x:c r="A7" s="99" t="str">
        <x:v>Requirement ID</x:v>
      </x:c>
      <x:c r="B7" s="100" t="str">
        <x:v>Requirement Source</x:v>
      </x:c>
      <x:c r="C7" s="100" t="str">
        <x:v>Source Scenario ID</x:v>
      </x:c>
      <x:c r="D7" s="100" t="str">
        <x:v>Feature</x:v>
      </x:c>
      <x:c r="E7" s="100" t="str">
        <x:v>Requirement / Scenario</x:v>
      </x:c>
      <x:c r="F7" s="100" t="str">
        <x:v>Mapped Test Case ID(s)</x:v>
      </x:c>
      <x:c r="G7" s="100" t="str">
        <x:v>Coverage Status</x:v>
      </x:c>
      <x:c r="H7" s="100" t="str">
        <x:v>Coverage Rationale</x:v>
      </x:c>
      <x:c r="I7" s="100" t="str">
        <x:v>Test Type</x:v>
      </x:c>
      <x:c r="J7" s="100" t="str">
        <x:v>Priority</x:v>
      </x:c>
      <x:c r="K7" s="100" t="str">
        <x:v>Execution Environment</x:v>
      </x:c>
      <x:c r="L7" s="100" t="str">
        <x:v>Manual Result</x:v>
      </x:c>
      <x:c r="M7" s="101" t="str">
        <x:v>Postman Result</x:v>
      </x:c>
      <x:c r="N7" s="105" t="str">
        <x:v>Playwright Result</x:v>
      </x:c>
      <x:c r="O7" s="105" t="str">
        <x:v>Overall Execution Status</x:v>
      </x:c>
      <x:c r="P7" s="105" t="str">
        <x:v>Evidence Reference(s)</x:v>
      </x:c>
      <x:c r="Q7" s="105" t="str">
        <x:v>Defect ID(s)</x:v>
      </x:c>
      <x:c r="R7" s="105" t="str">
        <x:v>Gap / Reconciliation Note</x:v>
      </x:c>
    </x:row>
    <x:row r="8" ht="43.20000076293945" hidden="0" customHeight="1">
      <x:c r="A8" s="106" t="str">
        <x:v>REQ-AUTH-001</x:v>
      </x:c>
      <x:c r="B8" s="107" t="str">
        <x:v>Site Scenario</x:v>
      </x:c>
      <x:c r="C8" s="107" t="str">
        <x:v>SRC-TC-01</x:v>
      </x:c>
      <x:c r="D8" s="107" t="str">
        <x:v>Registration</x:v>
      </x:c>
      <x:c r="E8" s="143" t="str">
        <x:v>Register User</x:v>
      </x:c>
      <x:c r="F8" s="143" t="str">
        <x:v>AE-SIGNUP-001
AE-SIGNUP-002
AE-ACCOUNT-001
AE-SIGNUP-006</x:v>
      </x:c>
      <x:c r="G8" s="144" t="str">
        <x:v>Fully Covered</x:v>
      </x:c>
      <x:c r="H8" s="82" t="str">
        <x:v>Jira Test Case AEQA-106 passed the complete registration workflow. Playwright implementation AEQA-121 is Done, and the registration evidence is attached.</x:v>
      </x:c>
      <x:c r="I8" s="143" t="str">
        <x:v>Functional — Positive</x:v>
      </x:c>
      <x:c r="J8" s="143" t="str">
        <x:v>Critical</x:v>
      </x:c>
      <x:c r="K8" s="143" t="str">
        <x:v>QA | automationexercise.com</x:v>
      </x:c>
      <x:c r="L8" s="143" t="str">
        <x:v>Pass</x:v>
      </x:c>
      <x:c r="M8" s="143" t="str">
        <x:v>N/A</x:v>
      </x:c>
      <x:c r="N8" s="143" t="str">
        <x:v>Pass</x:v>
      </x:c>
      <x:c r="O8" s="145" t="str">
        <x:v>Pass</x:v>
      </x:c>
      <x:c r="P8" s="82" t="str">
        <x:v>..\Screenshots\AE-SIGNUP-001.png
..\Screenshots\AE-SIGNUP-002.png
..\Screenshots\AE-ACCOUNT-001.png
..\Automation\Execution Evidence\AE-SIGNUP-006.png</x:v>
      </x:c>
      <x:c r="Q8" s="82"/>
      <x:c r="R8" s="82" t="str">
        <x:v>AEQA-106 passed and AEQA-121 is Done. Registration coverage includes the optional newsletter and partner-offer selections plus account cleanup.</x:v>
      </x:c>
    </x:row>
    <x:row r="9" ht="21.600000381469727" hidden="0" customHeight="1">
      <x:c r="A9" s="108" t="str">
        <x:v>REQ-AUTH-002</x:v>
      </x:c>
      <x:c r="B9" s="109" t="str">
        <x:v>Site Scenario</x:v>
      </x:c>
      <x:c r="C9" s="109" t="str">
        <x:v>SRC-TC-02</x:v>
      </x:c>
      <x:c r="D9" s="109" t="str">
        <x:v>Login / Account</x:v>
      </x:c>
      <x:c r="E9" s="143" t="str">
        <x:v>Login User with correct email and password</x:v>
      </x:c>
      <x:c r="F9" s="143" t="str">
        <x:v>AE-LOGIN-001
AE-ACCOUNT-001</x:v>
      </x:c>
      <x:c r="G9" s="145" t="str">
        <x:v>Fully Covered</x:v>
      </x:c>
      <x:c r="H9" s="82" t="str">
        <x:v>Valid login, username confirmation, and account deletion are covered across two focused test cases.</x:v>
      </x:c>
      <x:c r="I9" s="143" t="str">
        <x:v>Functional — Positive</x:v>
      </x:c>
      <x:c r="J9" s="143" t="str">
        <x:v>Critical</x:v>
      </x:c>
      <x:c r="K9" s="143" t="str">
        <x:v>QA | automationexercise.com</x:v>
      </x:c>
      <x:c r="L9" s="143" t="str">
        <x:v>Pass</x:v>
      </x:c>
      <x:c r="M9" s="143" t="str">
        <x:v>N/A</x:v>
      </x:c>
      <x:c r="N9" s="143" t="str">
        <x:v>Pass</x:v>
      </x:c>
      <x:c r="O9" s="145" t="str">
        <x:v>Pass</x:v>
      </x:c>
      <x:c r="P9" s="82" t="str">
        <x:v>..\Screenshots\AE-LOGIN-001.png
..\Screenshots\AE-ACCOUNT-001.png</x:v>
      </x:c>
      <x:c r="Q9" s="82"/>
      <x:c r="R9" s="82" t="str">
        <x:v>No immediate gap. Maintain cross-reference between the two focused cases.</x:v>
      </x:c>
    </x:row>
    <x:row r="10" ht="32.400001525878906" hidden="0" customHeight="1">
      <x:c r="A10" s="108" t="str">
        <x:v>REQ-AUTH-003</x:v>
      </x:c>
      <x:c r="B10" s="109" t="str">
        <x:v>Site Scenario</x:v>
      </x:c>
      <x:c r="C10" s="109" t="str">
        <x:v>SRC-TC-03</x:v>
      </x:c>
      <x:c r="D10" s="109" t="str">
        <x:v>Login</x:v>
      </x:c>
      <x:c r="E10" s="143" t="str">
        <x:v>Login User with incorrect email and password</x:v>
      </x:c>
      <x:c r="F10" s="143" t="str">
        <x:v>AE-LOGIN-003
AE-LOGIN-004</x:v>
      </x:c>
      <x:c r="G10" s="145" t="str">
        <x:v>Fully Covered</x:v>
      </x:c>
      <x:c r="H10" s="82" t="str">
        <x:v>Incorrect-password handling is covered by AE-LOGIN-003, and rejection of an unregistered email address is covered by AE-LOGIN-004.</x:v>
      </x:c>
      <x:c r="I10" s="143" t="str">
        <x:v>Functional — Negative</x:v>
      </x:c>
      <x:c r="J10" s="143" t="str">
        <x:v>High</x:v>
      </x:c>
      <x:c r="K10" s="143" t="str">
        <x:v>QA | automationexercise.com</x:v>
      </x:c>
      <x:c r="L10" s="143" t="str">
        <x:v>Pass</x:v>
      </x:c>
      <x:c r="M10" s="143" t="str">
        <x:v>N/A</x:v>
      </x:c>
      <x:c r="N10" s="143" t="str">
        <x:v>Pass</x:v>
      </x:c>
      <x:c r="O10" s="145" t="str">
        <x:v>Pass</x:v>
      </x:c>
      <x:c r="P10" s="82" t="str">
        <x:v>..\Screenshots\AE-LOGIN-003.png
..\Screenshots\AE-LOGIN-004.png</x:v>
      </x:c>
      <x:c r="Q10" s="82"/>
      <x:c r="R10" s="82" t="str">
        <x:v>No immediate coverage gap. Retain both cases so invalid-password and unregistered-email behavior remain independently traceable.</x:v>
      </x:c>
    </x:row>
    <x:row r="11" ht="21.600000381469727" hidden="0" customHeight="1">
      <x:c r="A11" s="108" t="str">
        <x:v>REQ-AUTH-004</x:v>
      </x:c>
      <x:c r="B11" s="109" t="str">
        <x:v>Site Scenario</x:v>
      </x:c>
      <x:c r="C11" s="109" t="str">
        <x:v>SRC-TC-04</x:v>
      </x:c>
      <x:c r="D11" s="109" t="str">
        <x:v>Logout</x:v>
      </x:c>
      <x:c r="E11" s="143" t="str">
        <x:v>Logout User</x:v>
      </x:c>
      <x:c r="F11" s="143" t="str">
        <x:v>AE-LOGOUT-001</x:v>
      </x:c>
      <x:c r="G11" s="145" t="str">
        <x:v>Fully Covered</x:v>
      </x:c>
      <x:c r="H11" s="82" t="str">
        <x:v>The source logout flow and additional browser-back session behavior were executed.</x:v>
      </x:c>
      <x:c r="I11" s="143" t="str">
        <x:v>Functional — Positive</x:v>
      </x:c>
      <x:c r="J11" s="143" t="str">
        <x:v>High</x:v>
      </x:c>
      <x:c r="K11" s="143" t="str">
        <x:v>QA | automationexercise.com</x:v>
      </x:c>
      <x:c r="L11" s="143" t="str">
        <x:v>Fail</x:v>
      </x:c>
      <x:c r="M11" s="143" t="str">
        <x:v>N/A</x:v>
      </x:c>
      <x:c r="N11" s="143" t="str">
        <x:v>Fail</x:v>
      </x:c>
      <x:c r="O11" s="146" t="str">
        <x:v>Fail</x:v>
      </x:c>
      <x:c r="P11" s="82" t="str">
        <x:v>..\Screenshots\AE-LOGOUT-001.png</x:v>
      </x:c>
      <x:c r="Q11" s="82" t="str">
        <x:v>AE-BUG-001
AE-BUG-002</x:v>
      </x:c>
      <x:c r="R11" s="82" t="str">
        <x:v>Retest after defects are corrected. Keep the additional browser-back check as enhanced coverage.</x:v>
      </x:c>
    </x:row>
    <x:row r="12" ht="21.600000381469727" hidden="0" customHeight="1">
      <x:c r="A12" s="108" t="str">
        <x:v>REQ-AUTH-005</x:v>
      </x:c>
      <x:c r="B12" s="109" t="str">
        <x:v>Site Scenario</x:v>
      </x:c>
      <x:c r="C12" s="109" t="str">
        <x:v>SRC-TC-05</x:v>
      </x:c>
      <x:c r="D12" s="109" t="str">
        <x:v>Registration</x:v>
      </x:c>
      <x:c r="E12" s="143" t="str">
        <x:v>Register User with existing email</x:v>
      </x:c>
      <x:c r="F12" s="143" t="str">
        <x:v>AE-SIGNUP-005</x:v>
      </x:c>
      <x:c r="G12" s="145" t="str">
        <x:v>Fully Covered</x:v>
      </x:c>
      <x:c r="H12" s="82" t="str">
        <x:v>Registration with an already registered email address was executed successfully and the expected duplicate-email error was displayed.</x:v>
      </x:c>
      <x:c r="I12" s="143" t="str">
        <x:v>Functional — Negative</x:v>
      </x:c>
      <x:c r="J12" s="143" t="str">
        <x:v>High</x:v>
      </x:c>
      <x:c r="K12" s="143" t="str">
        <x:v>QA | automationexercise.com</x:v>
      </x:c>
      <x:c r="L12" s="143" t="str">
        <x:v>Pass</x:v>
      </x:c>
      <x:c r="M12" s="143" t="str">
        <x:v>N/A</x:v>
      </x:c>
      <x:c r="N12" s="143" t="str">
        <x:v>Pass</x:v>
      </x:c>
      <x:c r="O12" s="145" t="str">
        <x:v>Pass</x:v>
      </x:c>
      <x:c r="P12" s="82" t="str">
        <x:v>..\Screenshots\AE-SIGNUP-005.png</x:v>
      </x:c>
      <x:c r="Q12" s="82"/>
      <x:c r="R12" s="82" t="str">
        <x:v>No immediate gap. Continue using a dedicated QA account and sanitized evidence.</x:v>
      </x:c>
    </x:row>
    <x:row r="13" ht="21.600000381469727" hidden="0" customHeight="1">
      <x:c r="A13" s="108" t="str">
        <x:v>REQ-CONTACT-001</x:v>
      </x:c>
      <x:c r="B13" s="109" t="str">
        <x:v>Site Scenario</x:v>
      </x:c>
      <x:c r="C13" s="109" t="str">
        <x:v>SRC-TC-06</x:v>
      </x:c>
      <x:c r="D13" s="109" t="str">
        <x:v>Contact</x:v>
      </x:c>
      <x:c r="E13" s="143" t="str">
        <x:v>Contact Us Form</x:v>
      </x:c>
      <x:c r="F13" s="143" t="str">
        <x:v>AE-CONTACT-001</x:v>
      </x:c>
      <x:c r="G13" s="145" t="str">
        <x:v>Fully Covered</x:v>
      </x:c>
      <x:c r="H13" s="82" t="str">
        <x:v>Text entry, permitted file upload, the confirmation dialog, success messaging, and return to Home all matched the expected result.</x:v>
      </x:c>
      <x:c r="I13" s="143" t="str">
        <x:v>Functional — Positive</x:v>
      </x:c>
      <x:c r="J13" s="143" t="str">
        <x:v>Medium</x:v>
      </x:c>
      <x:c r="K13" s="143" t="str">
        <x:v>QA | automationexercise.com</x:v>
      </x:c>
      <x:c r="L13" s="143" t="str">
        <x:v>Pass</x:v>
      </x:c>
      <x:c r="M13" s="143" t="str">
        <x:v>N/A</x:v>
      </x:c>
      <x:c r="N13" s="143" t="str">
        <x:v>Pass</x:v>
      </x:c>
      <x:c r="O13" s="145" t="str">
        <x:v>Pass</x:v>
      </x:c>
      <x:c r="P13" s="82" t="str">
        <x:v>..\Screenshots\AE-CONTACT-001.png</x:v>
      </x:c>
      <x:c r="Q13" s="82"/>
      <x:c r="R13" s="82" t="str">
        <x:v>No immediate gap. Preserve the sanitized AE-CONTACT-001 screenshot and successful return-to-Home observation for regression evidence.</x:v>
      </x:c>
    </x:row>
    <x:row r="14" ht="21.600000381469727" hidden="0" customHeight="1">
      <x:c r="A14" s="108" t="str">
        <x:v>REQ-NAV-001</x:v>
      </x:c>
      <x:c r="B14" s="109" t="str">
        <x:v>Site Scenario</x:v>
      </x:c>
      <x:c r="C14" s="109" t="str">
        <x:v>SRC-TC-07</x:v>
      </x:c>
      <x:c r="D14" s="109" t="str">
        <x:v>Navigation</x:v>
      </x:c>
      <x:c r="E14" s="143" t="str">
        <x:v>Verify Test Cases Page</x:v>
      </x:c>
      <x:c r="F14" s="143" t="str">
        <x:v>AE-NAV-001</x:v>
      </x:c>
      <x:c r="G14" s="145" t="str">
        <x:v>Fully Covered</x:v>
      </x:c>
      <x:c r="H14" s="82" t="str">
        <x:v> Navigation to the Test Cases page completed without error and the published scenarios were visible as expected.</x:v>
      </x:c>
      <x:c r="I14" s="143" t="str">
        <x:v>Functional — Positive</x:v>
      </x:c>
      <x:c r="J14" s="143" t="str">
        <x:v>Low</x:v>
      </x:c>
      <x:c r="K14" s="143" t="str">
        <x:v>QA | automationexercise.com</x:v>
      </x:c>
      <x:c r="L14" s="143" t="str">
        <x:v>Pass</x:v>
      </x:c>
      <x:c r="M14" s="143" t="str">
        <x:v>N/A</x:v>
      </x:c>
      <x:c r="N14" s="143" t="str">
        <x:v>Pass</x:v>
      </x:c>
      <x:c r="O14" s="145" t="str">
        <x:v>Pass</x:v>
      </x:c>
      <x:c r="P14" s="82" t="str">
        <x:v>..\Screenshots\AE-NAV-001.png</x:v>
      </x:c>
      <x:c r="Q14" s="82"/>
      <x:c r="R14" s="82" t="str">
        <x:v>No immediate gap. Retain AE-NAV-001 evidence showing both successful navigation and the published Test Cases page content.</x:v>
      </x:c>
    </x:row>
    <x:row r="15" ht="21.600000381469727" hidden="0" customHeight="1">
      <x:c r="A15" s="108" t="str">
        <x:v>REQ-PRODUCT-001</x:v>
      </x:c>
      <x:c r="B15" s="109" t="str">
        <x:v>Site Scenario</x:v>
      </x:c>
      <x:c r="C15" s="109" t="str">
        <x:v>SRC-TC-08</x:v>
      </x:c>
      <x:c r="D15" s="109" t="str">
        <x:v>Products</x:v>
      </x:c>
      <x:c r="E15" s="143" t="str">
        <x:v>Verify All Products and product detail page</x:v>
      </x:c>
      <x:c r="F15" s="143" t="str">
        <x:v>AE-PRODUCT-001</x:v>
      </x:c>
      <x:c r="G15" s="145" t="str">
        <x:v>Fully Covered</x:v>
      </x:c>
      <x:c r="H15" s="82" t="str">
        <x:v>The All Products page, complete product list, product-detail navigation, and required product attributes were verified successfully.</x:v>
      </x:c>
      <x:c r="I15" s="143" t="str">
        <x:v>Functional — Positive</x:v>
      </x:c>
      <x:c r="J15" s="143" t="str">
        <x:v>High</x:v>
      </x:c>
      <x:c r="K15" s="143" t="str">
        <x:v>QA | automationexercise.com</x:v>
      </x:c>
      <x:c r="L15" s="143" t="str">
        <x:v>Pass</x:v>
      </x:c>
      <x:c r="M15" s="143" t="str">
        <x:v>N/A</x:v>
      </x:c>
      <x:c r="N15" s="143" t="str">
        <x:v>Pass</x:v>
      </x:c>
      <x:c r="O15" s="145" t="str">
        <x:v>Pass</x:v>
      </x:c>
      <x:c r="P15" s="82" t="str">
        <x:v>..\Screenshots\AE-PRODUCT-001.png</x:v>
      </x:c>
      <x:c r="Q15" s="82"/>
      <x:c r="R15" s="82" t="str">
        <x:v>No immediate gap. Preserve evidence showing both the product list and product-detail information.</x:v>
      </x:c>
    </x:row>
    <x:row r="16" ht="21.600000381469727" hidden="0" customHeight="1">
      <x:c r="A16" s="108" t="str">
        <x:v>REQ-PRODUCT-002</x:v>
      </x:c>
      <x:c r="B16" s="109" t="str">
        <x:v>Site Scenario</x:v>
      </x:c>
      <x:c r="C16" s="109" t="str">
        <x:v>SRC-TC-09</x:v>
      </x:c>
      <x:c r="D16" s="109" t="str">
        <x:v>Products</x:v>
      </x:c>
      <x:c r="E16" s="143" t="str">
        <x:v>Search Product</x:v>
      </x:c>
      <x:c r="F16" s="143" t="str">
        <x:v>AE-PRODUCT-002</x:v>
      </x:c>
      <x:c r="G16" s="145" t="str">
        <x:v>Fully Covered</x:v>
      </x:c>
      <x:c r="H16" s="82" t="str">
        <x:v>Product search was executed successfully and the returned products were verified as relevant to the selected search term.</x:v>
      </x:c>
      <x:c r="I16" s="143" t="str">
        <x:v>Functional — Positive</x:v>
      </x:c>
      <x:c r="J16" s="143" t="str">
        <x:v>High</x:v>
      </x:c>
      <x:c r="K16" s="143" t="str">
        <x:v>QA | automationexercise.com</x:v>
      </x:c>
      <x:c r="L16" s="143" t="str">
        <x:v>Pass</x:v>
      </x:c>
      <x:c r="M16" s="143" t="str">
        <x:v>N/A</x:v>
      </x:c>
      <x:c r="N16" s="143" t="str">
        <x:v>Pass</x:v>
      </x:c>
      <x:c r="O16" s="145" t="str">
        <x:v>Pass</x:v>
      </x:c>
      <x:c r="P16" s="82" t="str">
        <x:v>..\Screenshots\AE-PRODUCT-002.png</x:v>
      </x:c>
      <x:c r="Q16" s="82"/>
      <x:c r="R16" s="82" t="str">
        <x:v>No immediate gap. Record the exact search term with each future execution.</x:v>
      </x:c>
    </x:row>
    <x:row r="17" ht="21.600000381469727" hidden="0" customHeight="1">
      <x:c r="A17" s="108" t="str">
        <x:v>REQ-SUB-001</x:v>
      </x:c>
      <x:c r="B17" s="109" t="str">
        <x:v>Site Scenario</x:v>
      </x:c>
      <x:c r="C17" s="109" t="str">
        <x:v>SRC-TC-10</x:v>
      </x:c>
      <x:c r="D17" s="109" t="str">
        <x:v>Subscription</x:v>
      </x:c>
      <x:c r="E17" s="143" t="str">
        <x:v>Verify Subscription in home page</x:v>
      </x:c>
      <x:c r="F17" s="143" t="str">
        <x:v>AE-SUB-001</x:v>
      </x:c>
      <x:c r="G17" s="145" t="str">
        <x:v>Fully Covered</x:v>
      </x:c>
      <x:c r="H17" s="82" t="str">
        <x:v>The home-page footer displayed the subscription heading, accepted the sanitized email, and showed the expected success message.</x:v>
      </x:c>
      <x:c r="I17" s="143" t="str">
        <x:v>Functional — Positive</x:v>
      </x:c>
      <x:c r="J17" s="143" t="str">
        <x:v>Medium</x:v>
      </x:c>
      <x:c r="K17" s="143" t="str">
        <x:v>QA | automationexercise.com</x:v>
      </x:c>
      <x:c r="L17" s="143" t="str">
        <x:v>Pass</x:v>
      </x:c>
      <x:c r="M17" s="143" t="str">
        <x:v>N/A</x:v>
      </x:c>
      <x:c r="N17" s="143" t="str">
        <x:v>Pass</x:v>
      </x:c>
      <x:c r="O17" s="145" t="str">
        <x:v>Pass</x:v>
      </x:c>
      <x:c r="P17" s="82" t="str">
        <x:v>..\Screenshots\AE-SUB-001.png</x:v>
      </x:c>
      <x:c r="Q17" s="82"/>
      <x:c r="R17" s="82" t="str">
        <x:v>No immediate gap. Retain the sanitized AE-SUB-001 screenshot and reuse a controlled email value during regression testing.</x:v>
      </x:c>
    </x:row>
    <x:row r="18" ht="32.400001525878906" hidden="0" customHeight="1">
      <x:c r="A18" s="108" t="str">
        <x:v>REQ-SUB-002</x:v>
      </x:c>
      <x:c r="B18" s="109" t="str">
        <x:v>Site Scenario</x:v>
      </x:c>
      <x:c r="C18" s="109" t="str">
        <x:v>SRC-TC-11</x:v>
      </x:c>
      <x:c r="D18" s="109" t="str">
        <x:v>Subscription</x:v>
      </x:c>
      <x:c r="E18" s="143" t="str">
        <x:v>Verify Subscription in Cart page</x:v>
      </x:c>
      <x:c r="F18" s="143" t="str">
        <x:v>AE-SUB-002</x:v>
      </x:c>
      <x:c r="G18" s="145" t="str">
        <x:v>Fully Covered</x:v>
      </x:c>
      <x:c r="H18" s="82" t="str">
        <x:v>The cart-page footer displayed the subscription heading, accepted the sanitized email, showed the expected success message, and remained on the cart page.</x:v>
      </x:c>
      <x:c r="I18" s="143" t="str">
        <x:v>Functional — Positive</x:v>
      </x:c>
      <x:c r="J18" s="143" t="str">
        <x:v>Medium</x:v>
      </x:c>
      <x:c r="K18" s="143" t="str">
        <x:v>QA | automationexercise.com</x:v>
      </x:c>
      <x:c r="L18" s="143" t="str">
        <x:v>Pass</x:v>
      </x:c>
      <x:c r="M18" s="143" t="str">
        <x:v>N/A</x:v>
      </x:c>
      <x:c r="N18" s="143" t="str">
        <x:v>Pass</x:v>
      </x:c>
      <x:c r="O18" s="145" t="str">
        <x:v>Pass</x:v>
      </x:c>
      <x:c r="P18" s="82" t="str">
        <x:v>..\Screenshots\AE-SUB-002.png</x:v>
      </x:c>
      <x:c r="Q18" s="82"/>
      <x:c r="R18" s="82" t="str">
        <x:v>No immediate gap. Retain AE-SUB-002 evidence confirming both the success message and continued cart-page context.</x:v>
      </x:c>
    </x:row>
    <x:row r="19" ht="32.400001525878906" hidden="0" customHeight="1">
      <x:c r="A19" s="108" t="str">
        <x:v>REQ-CART-001</x:v>
      </x:c>
      <x:c r="B19" s="109" t="str">
        <x:v>Site Scenario</x:v>
      </x:c>
      <x:c r="C19" s="109" t="str">
        <x:v>SRC-TC-12</x:v>
      </x:c>
      <x:c r="D19" s="109" t="str">
        <x:v>Cart</x:v>
      </x:c>
      <x:c r="E19" s="143" t="str">
        <x:v>Add Products in Cart</x:v>
      </x:c>
      <x:c r="F19" s="143" t="str">
        <x:v>AE-CART-001</x:v>
      </x:c>
      <x:c r="G19" s="145" t="str">
        <x:v>Fully Covered</x:v>
      </x:c>
      <x:c r="H19" s="82" t="str">
        <x:v>Two products, their unit prices, default quantities, and line totals were verified. The case failed because the overall cart total was not displayed.</x:v>
      </x:c>
      <x:c r="I19" s="143" t="str">
        <x:v>Functional — Positive</x:v>
      </x:c>
      <x:c r="J19" s="143" t="str">
        <x:v>Critical</x:v>
      </x:c>
      <x:c r="K19" s="143" t="str">
        <x:v>QA | automationexercise.com</x:v>
      </x:c>
      <x:c r="L19" s="143" t="str">
        <x:v>Fail</x:v>
      </x:c>
      <x:c r="M19" s="143" t="str">
        <x:v>N/A</x:v>
      </x:c>
      <x:c r="N19" s="143" t="str">
        <x:v>Fail</x:v>
      </x:c>
      <x:c r="O19" s="146" t="str">
        <x:v>Fail</x:v>
      </x:c>
      <x:c r="P19" s="82" t="str">
        <x:v>..\Screenshots\AE-CART-001.png</x:v>
      </x:c>
      <x:c r="Q19" s="82" t="str">
        <x:v>AE-BUG-003</x:v>
      </x:c>
      <x:c r="R19" s="82" t="str">
        <x:v>Retest AE-CART-001 after AE-BUG-003 is corrected and confirm the overall total equals the sum of all line totals.</x:v>
      </x:c>
    </x:row>
    <x:row r="20" ht="32.400001525878906" hidden="0" customHeight="1">
      <x:c r="A20" s="108" t="str">
        <x:v>REQ-CART-002</x:v>
      </x:c>
      <x:c r="B20" s="109" t="str">
        <x:v>Site Scenario</x:v>
      </x:c>
      <x:c r="C20" s="109" t="str">
        <x:v>SRC-TC-13</x:v>
      </x:c>
      <x:c r="D20" s="109" t="str">
        <x:v>Cart</x:v>
      </x:c>
      <x:c r="E20" s="143" t="str">
        <x:v>Verify Product quantity in Cart</x:v>
      </x:c>
      <x:c r="F20" s="143" t="str">
        <x:v>AE-CART-002</x:v>
      </x:c>
      <x:c r="G20" s="145" t="str">
        <x:v>Fully Covered</x:v>
      </x:c>
      <x:c r="H20" s="82" t="str">
        <x:v>Manual retest and corrected Playwright automation confirmed that quantity 4 can be selected on the product-detail page and is displayed correctly in the cart with the expected line total.</x:v>
      </x:c>
      <x:c r="I20" s="143" t="str">
        <x:v>Functional | Positive</x:v>
      </x:c>
      <x:c r="J20" s="143" t="str">
        <x:v>High</x:v>
      </x:c>
      <x:c r="K20" s="143" t="str">
        <x:v>QA | automationexercise.com</x:v>
      </x:c>
      <x:c r="L20" s="143" t="str">
        <x:v>Pass</x:v>
      </x:c>
      <x:c r="M20" s="143" t="str">
        <x:v>N/A</x:v>
      </x:c>
      <x:c r="N20" s="143" t="str">
        <x:v>Pass</x:v>
      </x:c>
      <x:c r="O20" s="145" t="str">
        <x:v>Pass</x:v>
      </x:c>
      <x:c r="P20" s="82" t="str">
        <x:v>..\Screenshots\AE-CART-002.png</x:v>
      </x:c>
      <x:c r="Q20" s="82" t="str">
        <x:v>AE-BUG-004</x:v>
      </x:c>
      <x:c r="R20" s="82" t="str">
        <x:v>No immediate coverage gap. Retain AE-CART-002 in regression and preserve AE-BUG-004 as a rejected defect record.</x:v>
      </x:c>
    </x:row>
    <x:row r="21" ht="32.400001525878906" hidden="0" customHeight="1">
      <x:c r="A21" s="108" t="str">
        <x:v>REQ-ORDER-001</x:v>
      </x:c>
      <x:c r="B21" s="109" t="str">
        <x:v>Site Scenario</x:v>
      </x:c>
      <x:c r="C21" s="109" t="str">
        <x:v>SRC-TC-14</x:v>
      </x:c>
      <x:c r="D21" s="109" t="str">
        <x:v>Checkout</x:v>
      </x:c>
      <x:c r="E21" s="143" t="str">
        <x:v>Place Order: Register while Checkout</x:v>
      </x:c>
      <x:c r="F21" s="143" t="str">
        <x:v>AE-ORDER-001</x:v>
      </x:c>
      <x:c r="G21" s="147" t="str">
        <x:v>Fully Covered</x:v>
      </x:c>
      <x:c r="H21" s="82" t="str">
        <x:v>Executed through Jira Test Case AEQA-107 / AE-ORDER-001. Registration during checkout completed successfully and the expected order confirmation was displayed.</x:v>
      </x:c>
      <x:c r="I21" s="143" t="str">
        <x:v>End-to-End — Positive</x:v>
      </x:c>
      <x:c r="J21" s="143" t="str">
        <x:v>Critical</x:v>
      </x:c>
      <x:c r="K21" s="143" t="str">
        <x:v>QA | automationexercise.com</x:v>
      </x:c>
      <x:c r="L21" s="143" t="str">
        <x:v>Pass</x:v>
      </x:c>
      <x:c r="M21" s="143" t="str">
        <x:v>N/A</x:v>
      </x:c>
      <x:c r="N21" s="143" t="str">
        <x:v>Not Automated</x:v>
      </x:c>
      <x:c r="O21" s="148" t="str">
        <x:v>Pass</x:v>
      </x:c>
      <x:c r="P21" s="82" t="str">
        <x:v>..\Screenshots\AE-ORDER-001.png</x:v>
      </x:c>
      <x:c r="Q21" s="82"/>
      <x:c r="R21" s="82" t="str">
        <x:v>Execution synchronized from Jira AEQA-107 on 2026-08-12. Passed result, actual outcome, and screenshot evidence are retained in Jira and this RTM.</x:v>
      </x:c>
    </x:row>
    <x:row r="22" ht="32.400001525878906" hidden="0" customHeight="1">
      <x:c r="A22" s="108" t="str">
        <x:v>REQ-ORDER-002</x:v>
      </x:c>
      <x:c r="B22" s="109" t="str">
        <x:v>Site Scenario</x:v>
      </x:c>
      <x:c r="C22" s="109" t="str">
        <x:v>SRC-TC-15</x:v>
      </x:c>
      <x:c r="D22" s="109" t="str">
        <x:v>Checkout</x:v>
      </x:c>
      <x:c r="E22" s="143" t="str">
        <x:v>Place Order: Register before Checkout</x:v>
      </x:c>
      <x:c r="F22" s="143" t="str">
        <x:v>AE-ORDER-002</x:v>
      </x:c>
      <x:c r="G22" s="147" t="str">
        <x:v>Fully Covered</x:v>
      </x:c>
      <x:c r="H22" s="82" t="str">
        <x:v>Jira Test Case AEQA-108 passed. A user registered before shopping, completed checkout, and received the order confirmation.</x:v>
      </x:c>
      <x:c r="I22" s="143" t="str">
        <x:v>End-to-End — Positive</x:v>
      </x:c>
      <x:c r="J22" s="143" t="str">
        <x:v>Critical</x:v>
      </x:c>
      <x:c r="K22" s="143" t="str">
        <x:v>QA | automationexercise.com</x:v>
      </x:c>
      <x:c r="L22" s="143" t="str">
        <x:v>Pass</x:v>
      </x:c>
      <x:c r="M22" s="143" t="str">
        <x:v>N/A</x:v>
      </x:c>
      <x:c r="N22" s="143" t="str">
        <x:v>Not Automated</x:v>
      </x:c>
      <x:c r="O22" s="148" t="str">
        <x:v>Pass</x:v>
      </x:c>
      <x:c r="P22" s="82" t="str">
        <x:v>Jira AEQA-108 attachments: image_2026-08-11_232841897.png; image_2026-08-11_233013612.png; image_2026-08-11_233046264.png; invoice (1).txt</x:v>
      </x:c>
      <x:c r="Q22" s="82"/>
      <x:c r="R22" s="82" t="str">
        <x:v>Manual execution passed in AEQA-108. Evidence and invoice output remain attached to the Jira Test Case.</x:v>
      </x:c>
    </x:row>
    <x:row r="23" ht="32.400001525878906" hidden="0" customHeight="1">
      <x:c r="A23" s="108" t="str">
        <x:v>REQ-ORDER-003</x:v>
      </x:c>
      <x:c r="B23" s="109" t="str">
        <x:v>Site Scenario</x:v>
      </x:c>
      <x:c r="C23" s="109" t="str">
        <x:v>SRC-TC-16</x:v>
      </x:c>
      <x:c r="D23" s="109" t="str">
        <x:v>Checkout</x:v>
      </x:c>
      <x:c r="E23" s="143" t="str">
        <x:v>Place Order: Login before Checkout</x:v>
      </x:c>
      <x:c r="F23" s="143" t="str">
        <x:v>AE-ORDER-003</x:v>
      </x:c>
      <x:c r="G23" s="147" t="str">
        <x:v>Fully Covered</x:v>
      </x:c>
      <x:c r="H23" s="82" t="str">
        <x:v>Jira Test Case AEQA-109 passed. An existing user logged in before checkout, completed the order, and received the success confirmation.</x:v>
      </x:c>
      <x:c r="I23" s="143" t="str">
        <x:v>End-to-End — Positive</x:v>
      </x:c>
      <x:c r="J23" s="143" t="str">
        <x:v>Critical</x:v>
      </x:c>
      <x:c r="K23" s="143" t="str">
        <x:v>QA | automationexercise.com</x:v>
      </x:c>
      <x:c r="L23" s="143" t="str">
        <x:v>Pass</x:v>
      </x:c>
      <x:c r="M23" s="143" t="str">
        <x:v>N/A</x:v>
      </x:c>
      <x:c r="N23" s="143" t="str">
        <x:v>Not Automated</x:v>
      </x:c>
      <x:c r="O23" s="148" t="str">
        <x:v>Pass</x:v>
      </x:c>
      <x:c r="P23" s="82" t="str">
        <x:v>Jira AEQA-109 attachments: image_2026-08-11_234034965.png; image_2026-08-11_234130953.png; image_2026-08-11_234238291.png; invoice (2).txt</x:v>
      </x:c>
      <x:c r="Q23" s="82"/>
      <x:c r="R23" s="82" t="str">
        <x:v>Manual execution passed in AEQA-109. Evidence and invoice output remain attached to the Jira Test Case.</x:v>
      </x:c>
    </x:row>
    <x:row r="24" ht="21.600000381469727" hidden="0" customHeight="1">
      <x:c r="A24" s="108" t="str">
        <x:v>REQ-CART-003</x:v>
      </x:c>
      <x:c r="B24" s="109" t="str">
        <x:v>Site Scenario</x:v>
      </x:c>
      <x:c r="C24" s="109" t="str">
        <x:v>SRC-TC-17</x:v>
      </x:c>
      <x:c r="D24" s="109" t="str">
        <x:v>Cart</x:v>
      </x:c>
      <x:c r="E24" s="143" t="str">
        <x:v>Remove Products From Cart</x:v>
      </x:c>
      <x:c r="F24" s="143" t="str">
        <x:v>AE-CART-003</x:v>
      </x:c>
      <x:c r="G24" s="145" t="str">
        <x:v>Fully Covered</x:v>
      </x:c>
      <x:c r="H24" s="82" t="str">
        <x:v>A product was added to the cart, removed using the remove control, and verified as no longer displayed or included in cart totals.</x:v>
      </x:c>
      <x:c r="I24" s="143" t="str">
        <x:v>Functional — Positive</x:v>
      </x:c>
      <x:c r="J24" s="143" t="str">
        <x:v>High</x:v>
      </x:c>
      <x:c r="K24" s="143" t="str">
        <x:v>QA | automationexercise.com</x:v>
      </x:c>
      <x:c r="L24" s="143" t="str">
        <x:v>Pass</x:v>
      </x:c>
      <x:c r="M24" s="143" t="str">
        <x:v>N/A</x:v>
      </x:c>
      <x:c r="N24" s="143" t="str">
        <x:v>Pass</x:v>
      </x:c>
      <x:c r="O24" s="145" t="str">
        <x:v>Pass</x:v>
      </x:c>
      <x:c r="P24" s="82" t="str">
        <x:v>..\Screenshots\AE-CART-003.png</x:v>
      </x:c>
      <x:c r="Q24" s="82"/>
      <x:c r="R24" s="82" t="str">
        <x:v>No immediate gap. Retain before-and-after cart evidence for future executions.</x:v>
      </x:c>
    </x:row>
    <x:row r="25" ht="32.400001525878906" hidden="0" customHeight="1">
      <x:c r="A25" s="108" t="str">
        <x:v>REQ-CATALOG-001</x:v>
      </x:c>
      <x:c r="B25" s="109" t="str">
        <x:v>Site Scenario</x:v>
      </x:c>
      <x:c r="C25" s="109" t="str">
        <x:v>SRC-TC-18</x:v>
      </x:c>
      <x:c r="D25" s="109" t="str">
        <x:v>Catalog</x:v>
      </x:c>
      <x:c r="E25" s="143" t="str">
        <x:v>View Category Products</x:v>
      </x:c>
      <x:c r="F25" s="143" t="str">
        <x:v>AE-CATALOG-001</x:v>
      </x:c>
      <x:c r="G25" s="147" t="str">
        <x:v>Fully Covered</x:v>
      </x:c>
      <x:c r="H25" s="82" t="str">
        <x:v>Executed through Jira Test Case AEQA-110 / AE-CATALOG-001. Women &gt; Dress and Men &gt; Tshirts navigation displayed the expected category headings and matching product lists.</x:v>
      </x:c>
      <x:c r="I25" s="143" t="str">
        <x:v>Functional — Positive</x:v>
      </x:c>
      <x:c r="J25" s="143" t="str">
        <x:v>Medium</x:v>
      </x:c>
      <x:c r="K25" s="143" t="str">
        <x:v>QA | automationexercise.com</x:v>
      </x:c>
      <x:c r="L25" s="143" t="str">
        <x:v>Pass</x:v>
      </x:c>
      <x:c r="M25" s="143" t="str">
        <x:v>N/A</x:v>
      </x:c>
      <x:c r="N25" s="143" t="str">
        <x:v>Not Automated</x:v>
      </x:c>
      <x:c r="O25" s="148" t="str">
        <x:v>Pass</x:v>
      </x:c>
      <x:c r="P25" s="82" t="str">
        <x:v>Jira native attachment (AEQA-110)</x:v>
      </x:c>
      <x:c r="Q25" s="82"/>
      <x:c r="R25" s="82" t="str">
        <x:v>Execution synchronized from Jira on 2026-08-16. Passed result and screenshot evidence are retained on AEQA-110.</x:v>
      </x:c>
    </x:row>
    <x:row r="26" ht="32.400001525878906" hidden="0" customHeight="1">
      <x:c r="A26" s="108" t="str">
        <x:v>REQ-CATALOG-002</x:v>
      </x:c>
      <x:c r="B26" s="109" t="str">
        <x:v>Site Scenario</x:v>
      </x:c>
      <x:c r="C26" s="109" t="str">
        <x:v>SRC-TC-19</x:v>
      </x:c>
      <x:c r="D26" s="109" t="str">
        <x:v>Catalog</x:v>
      </x:c>
      <x:c r="E26" s="143" t="str">
        <x:v>View &amp; Cart Brand Products</x:v>
      </x:c>
      <x:c r="F26" s="143" t="str">
        <x:v>AE-CATALOG-002</x:v>
      </x:c>
      <x:c r="G26" s="147" t="str">
        <x:v>Fully Covered</x:v>
      </x:c>
      <x:c r="H26" s="82" t="str">
        <x:v>Manual design is complete in AEQA-111 / AE-CATALOG-002. AEQA-123 is the linked Playwright implementation sub-task and remains Backlog.</x:v>
      </x:c>
      <x:c r="I26" s="143" t="str">
        <x:v>Functional — Positive</x:v>
      </x:c>
      <x:c r="J26" s="143" t="str">
        <x:v>Medium</x:v>
      </x:c>
      <x:c r="K26" s="143" t="str">
        <x:v>QA | automationexercise.com</x:v>
      </x:c>
      <x:c r="L26" s="143" t="str">
        <x:v>Not Run</x:v>
      </x:c>
      <x:c r="M26" s="143" t="str">
        <x:v>N/A</x:v>
      </x:c>
      <x:c r="N26" s="143" t="str">
        <x:v>Not Automated</x:v>
      </x:c>
      <x:c r="O26" s="148" t="str">
        <x:v>Not Run</x:v>
      </x:c>
      <x:c r="P26" s="82"/>
      <x:c r="Q26" s="82"/>
      <x:c r="R26" s="82" t="str">
        <x:v>Execute AE-CATALOG-002 manually and complete AEQA-123 automation; reconcile each result and its evidence independently.</x:v>
      </x:c>
    </x:row>
    <x:row r="27" ht="54" hidden="0" customHeight="1">
      <x:c r="A27" s="108" t="str">
        <x:v>REQ-CART-004</x:v>
      </x:c>
      <x:c r="B27" s="109" t="str">
        <x:v>Site Scenario</x:v>
      </x:c>
      <x:c r="C27" s="109" t="str">
        <x:v>SRC-TC-20</x:v>
      </x:c>
      <x:c r="D27" s="109" t="str">
        <x:v>Search / Cart</x:v>
      </x:c>
      <x:c r="E27" s="143" t="str">
        <x:v>Search Products and Verify Cart After Login</x:v>
      </x:c>
      <x:c r="F27" s="143" t="str">
        <x:v>AE-CART-004</x:v>
      </x:c>
      <x:c r="G27" s="147" t="str">
        <x:v>Fully Covered</x:v>
      </x:c>
      <x:c r="H27" s="82" t="str">
        <x:v>Manual case AEQA-112 and Playwright task AEQA-122 are linked to AEQA-20. Both passed, and their before-login and after-login cart evidence is attached to the correct Jira work items.</x:v>
      </x:c>
      <x:c r="I27" s="143" t="str">
        <x:v>End-to-End — Positive</x:v>
      </x:c>
      <x:c r="J27" s="143" t="str">
        <x:v>High</x:v>
      </x:c>
      <x:c r="K27" s="143" t="str">
        <x:v>QA | automationexercise.com</x:v>
      </x:c>
      <x:c r="L27" s="143" t="str">
        <x:v>Pass</x:v>
      </x:c>
      <x:c r="M27" s="143" t="str">
        <x:v>N/A</x:v>
      </x:c>
      <x:c r="N27" s="143" t="str">
        <x:v>Pass</x:v>
      </x:c>
      <x:c r="O27" s="148" t="str">
        <x:v>Pass</x:v>
      </x:c>
      <x:c r="P27" s="82" t="str">
        <x:v>Manual evidence: Jira AEQA-112 attachments AE-CART-004(1).png and AE-CART-004(2).png
Automation evidence: ..\Automation\Execution Evidence\AE-CART-004(1).png; ..\Automation\Execution Evidence\AE-CART-004(2).png</x:v>
      </x:c>
      <x:c r="Q27" s="82"/>
      <x:c r="R27" s="82" t="str">
        <x:v>Manual testing and Playwright automation passed on 2026-08-17. Keep the manual and automation evidence attached to their separate Jira work items.</x:v>
      </x:c>
    </x:row>
    <x:row r="28" ht="43.20000076293945" hidden="0" customHeight="1">
      <x:c r="A28" s="108" t="str">
        <x:v>REQ-REVIEW-001</x:v>
      </x:c>
      <x:c r="B28" s="109" t="str">
        <x:v>Site Scenario</x:v>
      </x:c>
      <x:c r="C28" s="109" t="str">
        <x:v>SRC-TC-21</x:v>
      </x:c>
      <x:c r="D28" s="109" t="str">
        <x:v>Product Review</x:v>
      </x:c>
      <x:c r="E28" s="143" t="str">
        <x:v>Add review on product</x:v>
      </x:c>
      <x:c r="F28" s="143" t="str">
        <x:v>AE-REVIEW-001
AE-AUTO-REVIEW-001</x:v>
      </x:c>
      <x:c r="G28" s="147" t="str">
        <x:v>Fully Covered</x:v>
      </x:c>
      <x:c r="H28" s="82" t="str">
        <x:v>Manual case AEQA-113 and automation case AEQA-124 are linked to AEQA-21. Both passed, and their result-specific evidence is attached to the correct Jira Test Cases.</x:v>
      </x:c>
      <x:c r="I28" s="143" t="str">
        <x:v>Functional — Positive</x:v>
      </x:c>
      <x:c r="J28" s="143" t="str">
        <x:v>Medium</x:v>
      </x:c>
      <x:c r="K28" s="143" t="str">
        <x:v>QA | automationexercise.com</x:v>
      </x:c>
      <x:c r="L28" s="143" t="str">
        <x:v>Pass</x:v>
      </x:c>
      <x:c r="M28" s="143" t="str">
        <x:v>N/A</x:v>
      </x:c>
      <x:c r="N28" s="143" t="str">
        <x:v>Pass</x:v>
      </x:c>
      <x:c r="O28" s="148" t="str">
        <x:v>Pass</x:v>
      </x:c>
      <x:c r="P28" s="82" t="str">
        <x:v>Manual evidence: Jira AEQA-113 attachments (2 screenshots)
Automation evidence: ..\Automation\Execution Evidence\AE-REVIEW-001(1).png; ..\Automation\Execution Evidence\AE-REVIEW-001(2).png</x:v>
      </x:c>
      <x:c r="Q28" s="82"/>
      <x:c r="R28" s="82" t="str">
        <x:v>Manual testing and Playwright automation passed on 2026-08-17. Keep the manual and automation evidence attached to their separate Jira Test Cases.</x:v>
      </x:c>
    </x:row>
    <x:row r="29" ht="32.400001525878906" hidden="0" customHeight="1">
      <x:c r="A29" s="108" t="str">
        <x:v>REQ-CART-005</x:v>
      </x:c>
      <x:c r="B29" s="109" t="str">
        <x:v>Site Scenario</x:v>
      </x:c>
      <x:c r="C29" s="109" t="str">
        <x:v>SRC-TC-22</x:v>
      </x:c>
      <x:c r="D29" s="109" t="str">
        <x:v>Recommended Items</x:v>
      </x:c>
      <x:c r="E29" s="143" t="str">
        <x:v>Add to cart from Recommended items</x:v>
      </x:c>
      <x:c r="F29" s="143" t="str">
        <x:v>AE-CART-005
AE-AUTO-CART-005</x:v>
      </x:c>
      <x:c r="G29" s="147" t="str">
        <x:v>Fully Covered</x:v>
      </x:c>
      <x:c r="H29" s="82" t="str">
        <x:v>Manual case AEQA-114 and automation case AEQA-125 both passed. Recommended Items add-to-cart behavior is covered by manual and Playwright evidence.</x:v>
      </x:c>
      <x:c r="I29" s="143" t="str">
        <x:v>Functional — Positive</x:v>
      </x:c>
      <x:c r="J29" s="143" t="str">
        <x:v>Medium</x:v>
      </x:c>
      <x:c r="K29" s="143" t="str">
        <x:v>QA | automationexercise.com</x:v>
      </x:c>
      <x:c r="L29" s="143" t="str">
        <x:v>Pass</x:v>
      </x:c>
      <x:c r="M29" s="143" t="str">
        <x:v>N/A</x:v>
      </x:c>
      <x:c r="N29" s="143" t="str">
        <x:v>Pass</x:v>
      </x:c>
      <x:c r="O29" s="148" t="str">
        <x:v>Pass</x:v>
      </x:c>
      <x:c r="P29" s="82" t="str">
        <x:v>Jira AEQA-114: image_2026-08-17_205040181.png
..\Automation\Execution Evidence\AE-AUTO-CART-005.png</x:v>
      </x:c>
      <x:c r="Q29" s="82"/>
      <x:c r="R29" s="82" t="str">
        <x:v>Coverage complete. Manual and Playwright results are independently recorded as Pass.</x:v>
      </x:c>
    </x:row>
    <x:row r="30" ht="32.400001525878906" hidden="0" customHeight="1">
      <x:c r="A30" s="108" t="str">
        <x:v>REQ-ORDER-004</x:v>
      </x:c>
      <x:c r="B30" s="109" t="str">
        <x:v>Site Scenario</x:v>
      </x:c>
      <x:c r="C30" s="109" t="str">
        <x:v>SRC-TC-23</x:v>
      </x:c>
      <x:c r="D30" s="109" t="str">
        <x:v>Checkout</x:v>
      </x:c>
      <x:c r="E30" s="143" t="str">
        <x:v>Verify address details in checkout page</x:v>
      </x:c>
      <x:c r="F30" s="143" t="str">
        <x:v>AE-ORDER-004</x:v>
      </x:c>
      <x:c r="G30" s="147" t="str">
        <x:v>Fully Covered</x:v>
      </x:c>
      <x:c r="H30" s="82" t="str">
        <x:v>Executed through Jira Test Case AEQA-115 / AE-ORDER-004 and automated under AEQA-102 / AEQA-105. Delivery and billing address details matched the registered QA account.</x:v>
      </x:c>
      <x:c r="I30" s="143" t="str">
        <x:v>Functional — Positive</x:v>
      </x:c>
      <x:c r="J30" s="143" t="str">
        <x:v>Critical</x:v>
      </x:c>
      <x:c r="K30" s="143" t="str">
        <x:v>QA | automationexercise.com</x:v>
      </x:c>
      <x:c r="L30" s="143" t="str">
        <x:v>Pass</x:v>
      </x:c>
      <x:c r="M30" s="143" t="str">
        <x:v>N/A</x:v>
      </x:c>
      <x:c r="N30" s="143" t="str">
        <x:v>Pass</x:v>
      </x:c>
      <x:c r="O30" s="148" t="str">
        <x:v>Pass</x:v>
      </x:c>
      <x:c r="P30" s="82" t="str">
        <x:v>..\Automation\Execution Evidence\AE-ORDER-004.png
..\Automation\Execution Evidence\AE-ORDER-004-evidence.html
..\Automation\Execution Evidence\AE-ORDER-004-evidence.pdf</x:v>
      </x:c>
      <x:c r="Q30" s="82"/>
      <x:c r="R30" s="82" t="str">
        <x:v>Manual and Playwright results synchronized from Jira and local evidence on 2026-08-16.</x:v>
      </x:c>
    </x:row>
    <x:row r="31" ht="32.400001525878906" hidden="0" customHeight="1">
      <x:c r="A31" s="108" t="str">
        <x:v>REQ-ORDER-005</x:v>
      </x:c>
      <x:c r="B31" s="109" t="str">
        <x:v>Site Scenario</x:v>
      </x:c>
      <x:c r="C31" s="109" t="str">
        <x:v>SRC-TC-24</x:v>
      </x:c>
      <x:c r="D31" s="109" t="str">
        <x:v>Checkout / Invoice</x:v>
      </x:c>
      <x:c r="E31" s="143" t="str">
        <x:v>Download Invoice after purchase order</x:v>
      </x:c>
      <x:c r="F31" s="143" t="str">
        <x:v>AE-ORDER-005
AE-AUTO-ORDER-005</x:v>
      </x:c>
      <x:c r="G31" s="147" t="str">
        <x:v>Fully Covered</x:v>
      </x:c>
      <x:c r="H31" s="82" t="str">
        <x:v>Manual case AEQA-116 and automation case AEQA-126 both passed. The completed order and invoice download were verified with screenshot and invoice evidence.</x:v>
      </x:c>
      <x:c r="I31" s="143" t="str">
        <x:v>End-to-End — Positive</x:v>
      </x:c>
      <x:c r="J31" s="143" t="str">
        <x:v>High</x:v>
      </x:c>
      <x:c r="K31" s="143" t="str">
        <x:v>QA | automationexercise.com</x:v>
      </x:c>
      <x:c r="L31" s="143" t="str">
        <x:v>Pass</x:v>
      </x:c>
      <x:c r="M31" s="143" t="str">
        <x:v>N/A</x:v>
      </x:c>
      <x:c r="N31" s="143" t="str">
        <x:v>Pass</x:v>
      </x:c>
      <x:c r="O31" s="148" t="str">
        <x:v>Pass</x:v>
      </x:c>
      <x:c r="P31" s="82" t="str">
        <x:v>Jira AEQA-116: image_2026-08-17_211426159.png; invoice (3).txt
..\Automation\Execution Evidence\AE-AUTO-ORDER-005.png
..\Automation\Execution Evidence\AE-AUTO-ORDER-005-invoice.txt</x:v>
      </x:c>
      <x:c r="Q31" s="82"/>
      <x:c r="R31" s="82" t="str">
        <x:v>Coverage complete. Manual and Playwright invoice evidence are retained separately.</x:v>
      </x:c>
    </x:row>
    <x:row r="32" ht="43.20000076293945" hidden="0" customHeight="1">
      <x:c r="A32" s="108" t="str">
        <x:v>REQ-NAV-002</x:v>
      </x:c>
      <x:c r="B32" s="109" t="str">
        <x:v>Site Scenario</x:v>
      </x:c>
      <x:c r="C32" s="109" t="str">
        <x:v>SRC-TC-25</x:v>
      </x:c>
      <x:c r="D32" s="109" t="str">
        <x:v>Navigation</x:v>
      </x:c>
      <x:c r="E32" s="143" t="str">
        <x:v>Verify Scroll Up using 'Arrow' button and Scroll Down functionality</x:v>
      </x:c>
      <x:c r="F32" s="143" t="str">
        <x:v>AE-NAV-002
AE-AUTO-NAV-002</x:v>
      </x:c>
      <x:c r="G32" s="147" t="str">
        <x:v>Fully Covered</x:v>
      </x:c>
      <x:c r="H32" s="82" t="str">
        <x:v>Manual case AEQA-117 and automation case AEQA-127 both passed. Footer visibility, arrow appearance, and return-to-top behavior were verified.</x:v>
      </x:c>
      <x:c r="I32" s="143" t="str">
        <x:v>Functional — Positive</x:v>
      </x:c>
      <x:c r="J32" s="143" t="str">
        <x:v>Low</x:v>
      </x:c>
      <x:c r="K32" s="143" t="str">
        <x:v>QA | automationexercise.com</x:v>
      </x:c>
      <x:c r="L32" s="143" t="str">
        <x:v>Pass</x:v>
      </x:c>
      <x:c r="M32" s="143" t="str">
        <x:v>N/A</x:v>
      </x:c>
      <x:c r="N32" s="143" t="str">
        <x:v>Pass</x:v>
      </x:c>
      <x:c r="O32" s="148" t="str">
        <x:v>Pass</x:v>
      </x:c>
      <x:c r="P32" s="82" t="str">
        <x:v>Jira AEQA-117: image_2026-08-17_213605047.png; image_2026-08-17_213623066.png
..\Automation\Execution Evidence\AE-AUTO-NAV-002.png
..\Automation\Execution Evidence\AE-AUTO-NAV-002.webm</x:v>
      </x:c>
      <x:c r="Q32" s="82"/>
      <x:c r="R32" s="82" t="str">
        <x:v>Coverage complete. Manual screenshots and Playwright screenshot/video evidence are retained.</x:v>
      </x:c>
    </x:row>
    <x:row r="33" ht="32.400001525878906" hidden="0" customHeight="1">
      <x:c r="A33" s="108" t="str">
        <x:v>REQ-NAV-003</x:v>
      </x:c>
      <x:c r="B33" s="109" t="str">
        <x:v>Site Scenario</x:v>
      </x:c>
      <x:c r="C33" s="109" t="str">
        <x:v>SRC-TC-26</x:v>
      </x:c>
      <x:c r="D33" s="109" t="str">
        <x:v>Navigation</x:v>
      </x:c>
      <x:c r="E33" s="143" t="str">
        <x:v>Verify Scroll Up without 'Arrow' button and Scroll Down functionality</x:v>
      </x:c>
      <x:c r="F33" s="143" t="str">
        <x:v>AE-NAV-003
AE-AUTO-NAV-003</x:v>
      </x:c>
      <x:c r="G33" s="147" t="str">
        <x:v>Fully Covered</x:v>
      </x:c>
      <x:c r="H33" s="82" t="str">
        <x:v>Manual case AEQA-118 passed and automation case AEQA-128 remains Not Run. Manual scrolling down and back to the top without the arrow is verified.</x:v>
      </x:c>
      <x:c r="I33" s="143" t="str">
        <x:v>Functional — Positive</x:v>
      </x:c>
      <x:c r="J33" s="143" t="str">
        <x:v>Low</x:v>
      </x:c>
      <x:c r="K33" s="143" t="str">
        <x:v>QA | automationexercise.com</x:v>
      </x:c>
      <x:c r="L33" s="143" t="str">
        <x:v>Pass</x:v>
      </x:c>
      <x:c r="M33" s="143" t="str">
        <x:v>N/A</x:v>
      </x:c>
      <x:c r="N33" s="143" t="str">
        <x:v>Not Automated</x:v>
      </x:c>
      <x:c r="O33" s="148" t="str">
        <x:v>Pass</x:v>
      </x:c>
      <x:c r="P33" s="82" t="str">
        <x:v>Jira AEQA-118: image_2026-08-17_215326128.png; image_2026-08-17_215755766.png</x:v>
      </x:c>
      <x:c r="Q33" s="82"/>
      <x:c r="R33" s="82" t="str">
        <x:v>Manual coverage passed. AE-AUTO-NAV-003 / AEQA-128 remains In Progress and Not Run until executed.</x:v>
      </x:c>
    </x:row>
    <x:row r="34" ht="21.600000381469727" hidden="0" customHeight="1">
      <x:c r="A34" s="108" t="str">
        <x:v>REQ-EXT-001</x:v>
      </x:c>
      <x:c r="B34" s="109" t="str">
        <x:v>Tester-Derived</x:v>
      </x:c>
      <x:c r="C34" s="109" t="str">
        <x:v>CUSTOM-01</x:v>
      </x:c>
      <x:c r="D34" s="109" t="str">
        <x:v>Registration</x:v>
      </x:c>
      <x:c r="E34" s="143" t="str">
        <x:v>Reject invalid email format during registration</x:v>
      </x:c>
      <x:c r="F34" s="143" t="str">
        <x:v>AE-SIGNUP-003</x:v>
      </x:c>
      <x:c r="G34" s="145" t="str">
        <x:v>Fully Covered</x:v>
      </x:c>
      <x:c r="H34" s="82" t="str">
        <x:v>Tester-derived negative validation coverage was executed successfully.</x:v>
      </x:c>
      <x:c r="I34" s="143" t="str">
        <x:v>Functional — Negative</x:v>
      </x:c>
      <x:c r="J34" s="143" t="str">
        <x:v>High</x:v>
      </x:c>
      <x:c r="K34" s="143" t="str">
        <x:v>QA | automationexercise.com</x:v>
      </x:c>
      <x:c r="L34" s="143" t="str">
        <x:v>Pass</x:v>
      </x:c>
      <x:c r="M34" s="143" t="str">
        <x:v>N/A</x:v>
      </x:c>
      <x:c r="N34" s="143" t="str">
        <x:v>Not Automated</x:v>
      </x:c>
      <x:c r="O34" s="145" t="str">
        <x:v>Pass</x:v>
      </x:c>
      <x:c r="P34" s="82" t="str">
        <x:v>..\Screenshots\AE-SIGNUP-003.png</x:v>
      </x:c>
      <x:c r="Q34" s="82"/>
      <x:c r="R34" s="82" t="str">
        <x:v>Retain as enhanced coverage beyond the published scenarios.</x:v>
      </x:c>
    </x:row>
    <x:row r="35" ht="21.600000381469727" hidden="0" customHeight="1">
      <x:c r="A35" s="108" t="str">
        <x:v>REQ-EXT-002</x:v>
      </x:c>
      <x:c r="B35" s="109" t="str">
        <x:v>Tester-Derived</x:v>
      </x:c>
      <x:c r="C35" s="109" t="str">
        <x:v>CUSTOM-02</x:v>
      </x:c>
      <x:c r="D35" s="109" t="str">
        <x:v>Registration</x:v>
      </x:c>
      <x:c r="E35" s="143" t="str">
        <x:v>Prevent account creation when required fields are blank</x:v>
      </x:c>
      <x:c r="F35" s="143" t="str">
        <x:v>AE-SIGNUP-004</x:v>
      </x:c>
      <x:c r="G35" s="145" t="str">
        <x:v>Fully Covered</x:v>
      </x:c>
      <x:c r="H35" s="82" t="str">
        <x:v>Tester-derived required-field validation was executed successfully.</x:v>
      </x:c>
      <x:c r="I35" s="143" t="str">
        <x:v>Functional — Negative</x:v>
      </x:c>
      <x:c r="J35" s="143" t="str">
        <x:v>High</x:v>
      </x:c>
      <x:c r="K35" s="143" t="str">
        <x:v>QA | automationexercise.com</x:v>
      </x:c>
      <x:c r="L35" s="143" t="str">
        <x:v>Pass</x:v>
      </x:c>
      <x:c r="M35" s="143" t="str">
        <x:v>N/A</x:v>
      </x:c>
      <x:c r="N35" s="143" t="str">
        <x:v>Not Automated</x:v>
      </x:c>
      <x:c r="O35" s="145" t="str">
        <x:v>Pass</x:v>
      </x:c>
      <x:c r="P35" s="82" t="str">
        <x:v>..\Screenshots\AE-SIGNUP-004.png</x:v>
      </x:c>
      <x:c r="Q35" s="82"/>
      <x:c r="R35" s="82" t="str">
        <x:v>Consider splitting each required field into an independently traceable case.</x:v>
      </x:c>
    </x:row>
    <x:row r="36" ht="21.600000381469727" hidden="0" customHeight="1">
      <x:c r="A36" s="108" t="str">
        <x:v>REQ-EXT-003</x:v>
      </x:c>
      <x:c r="B36" s="109" t="str">
        <x:v>Tester-Derived</x:v>
      </x:c>
      <x:c r="C36" s="109" t="str">
        <x:v>CUSTOM-03</x:v>
      </x:c>
      <x:c r="D36" s="109" t="str">
        <x:v>Login Security</x:v>
      </x:c>
      <x:c r="E36" s="143" t="str">
        <x:v>Reject SQL injection input without authenticating the user</x:v>
      </x:c>
      <x:c r="F36" s="143" t="str">
        <x:v>AE-LOGIN-002</x:v>
      </x:c>
      <x:c r="G36" s="145" t="str">
        <x:v>Fully Covered</x:v>
      </x:c>
      <x:c r="H36" s="82" t="str">
        <x:v>Tester-derived security-focused input validation was executed successfully.</x:v>
      </x:c>
      <x:c r="I36" s="143" t="str">
        <x:v>Security — Negative</x:v>
      </x:c>
      <x:c r="J36" s="143" t="str">
        <x:v>High</x:v>
      </x:c>
      <x:c r="K36" s="143" t="str">
        <x:v>QA | automationexercise.com</x:v>
      </x:c>
      <x:c r="L36" s="143" t="str">
        <x:v>Pass</x:v>
      </x:c>
      <x:c r="M36" s="143" t="str">
        <x:v>N/A</x:v>
      </x:c>
      <x:c r="N36" s="143" t="str">
        <x:v>Pass</x:v>
      </x:c>
      <x:c r="O36" s="145" t="str">
        <x:v>Pass</x:v>
      </x:c>
      <x:c r="P36" s="82" t="str">
        <x:v>..\Screenshots\AE-LOGIN-002.png</x:v>
      </x:c>
      <x:c r="Q36" s="82"/>
      <x:c r="R36" s="82" t="str">
        <x:v>Retain as authorized security coverage; do not use destructive payloads.</x:v>
      </x:c>
    </x:row>
    <x:row r="37" ht="21.600000381469727" hidden="0" customHeight="1">
      <x:c r="A37" s="108" t="str">
        <x:v>REQ-EXT-004</x:v>
      </x:c>
      <x:c r="B37" s="109" t="str">
        <x:v>Tester-Derived</x:v>
      </x:c>
      <x:c r="C37" s="109" t="str">
        <x:v>CUSTOM-04</x:v>
      </x:c>
      <x:c r="D37" s="109" t="str">
        <x:v>Account Management</x:v>
      </x:c>
      <x:c r="E37" s="143" t="str">
        <x:v>Preserve an active account across logout and a new browser tab</x:v>
      </x:c>
      <x:c r="F37" s="143" t="str">
        <x:v>AE-ACCOUNT-002</x:v>
      </x:c>
      <x:c r="G37" s="145" t="str">
        <x:v>Fully Covered</x:v>
      </x:c>
      <x:c r="H37" s="82" t="str">
        <x:v>Tester-derived account-persistence coverage was executed successfully.</x:v>
      </x:c>
      <x:c r="I37" s="143" t="str">
        <x:v>Functional — Positive</x:v>
      </x:c>
      <x:c r="J37" s="143" t="str">
        <x:v>High</x:v>
      </x:c>
      <x:c r="K37" s="143" t="str">
        <x:v>QA | automationexercise.com</x:v>
      </x:c>
      <x:c r="L37" s="143" t="str">
        <x:v>Pass</x:v>
      </x:c>
      <x:c r="M37" s="143" t="str">
        <x:v>N/A</x:v>
      </x:c>
      <x:c r="N37" s="143" t="str">
        <x:v>Not Automated</x:v>
      </x:c>
      <x:c r="O37" s="145" t="str">
        <x:v>Pass</x:v>
      </x:c>
      <x:c r="P37" s="82" t="str">
        <x:v>..\Screenshots\AE-ACCOUNT-002.png</x:v>
      </x:c>
      <x:c r="Q37" s="82"/>
      <x:c r="R37" s="82" t="str">
        <x:v>Retain as enhanced account-lifecycle coverage.</x:v>
      </x:c>
    </x:row>
    <x:row r="38" ht="86.4000015258789" hidden="0" customHeight="1">
      <x:c r="A38" s="108" t="str">
        <x:v>REQ-API-001</x:v>
      </x:c>
      <x:c r="B38" s="109" t="str">
        <x:v>Site API Scenario</x:v>
      </x:c>
      <x:c r="C38" s="109" t="str">
        <x:v>SRC-API-01</x:v>
      </x:c>
      <x:c r="D38" s="109" t="str">
        <x:v>Product API</x:v>
      </x:c>
      <x:c r="E38" s="143" t="str">
        <x:v>Get All Products List</x:v>
      </x:c>
      <x:c r="F38" s="143" t="str">
        <x:v>API-PRODUCT-001</x:v>
      </x:c>
      <x:c r="G38" s="145" t="str">
        <x:v>Fully Covered</x:v>
      </x:c>
      <x:c r="H38" s="82" t="str">
        <x:v>Fresh Postman Collection Runner execution and independent Playwright verification both passed the HTTP transport, documented JSON responseCode, and scenario-specific payload or message assertions.</x:v>
      </x:c>
      <x:c r="I38" s="143" t="str">
        <x:v>API — Positive</x:v>
      </x:c>
      <x:c r="J38" s="143" t="str">
        <x:v>High</x:v>
      </x:c>
      <x:c r="K38" s="143" t="str">
        <x:v>QA | automationexercise.com</x:v>
      </x:c>
      <x:c r="L38" s="143" t="str">
        <x:v>N/A</x:v>
      </x:c>
      <x:c r="M38" s="143" t="str">
        <x:v>Pass</x:v>
      </x:c>
      <x:c r="N38" s="145" t="str">
        <x:v>Pass</x:v>
      </x:c>
      <x:c r="O38" s="145" t="str">
        <x:v>Pass</x:v>
      </x:c>
      <x:c r="P38" s="82" t="str">
        <x:v>..\API Testing\Execution Results\Postman Reports\AE-API_Full-Collection_QA_2026-08-09-Run-Summary.md
..\API Testing\Execution Results\Postman Reports\AE-API_Full-Collection_QA_2026-08-09.reconstructed.postman_run.json
..\API Testing\Execution Results\Screenshots\API-PRODUCT-001.png
..\Automation\Execution Evidence\API-PRODUCT-001.png
..\Automation\test-results\qa-analytics\index.html</x:v>
      </x:c>
      <x:c r="Q38" s="82"/>
      <x:c r="R38" s="82" t="str">
        <x:v>200 | products list returned. Fresh Postman run: 3/3 assertions passed on 2026-08-09; full collection: 42/42 passed, 0 errors. Historical August 1 baseline remains retained separately for auditability.</x:v>
      </x:c>
    </x:row>
    <x:row r="39" ht="86.4000015258789" hidden="0" customHeight="1">
      <x:c r="A39" s="108" t="str">
        <x:v>REQ-API-002</x:v>
      </x:c>
      <x:c r="B39" s="109" t="str">
        <x:v>Site API Scenario</x:v>
      </x:c>
      <x:c r="C39" s="109" t="str">
        <x:v>SRC-API-02</x:v>
      </x:c>
      <x:c r="D39" s="109" t="str">
        <x:v>Product API</x:v>
      </x:c>
      <x:c r="E39" s="143" t="str">
        <x:v>POST To All Products List</x:v>
      </x:c>
      <x:c r="F39" s="143" t="str">
        <x:v>API-PRODUCT-002</x:v>
      </x:c>
      <x:c r="G39" s="145" t="str">
        <x:v>Fully Covered</x:v>
      </x:c>
      <x:c r="H39" s="82" t="str">
        <x:v>Fresh Postman Collection Runner execution and independent Playwright verification both passed the HTTP transport, documented JSON responseCode, and scenario-specific payload or message assertions.</x:v>
      </x:c>
      <x:c r="I39" s="143" t="str">
        <x:v>API — Negative</x:v>
      </x:c>
      <x:c r="J39" s="143" t="str">
        <x:v>Medium</x:v>
      </x:c>
      <x:c r="K39" s="143" t="str">
        <x:v>QA | automationexercise.com</x:v>
      </x:c>
      <x:c r="L39" s="143" t="str">
        <x:v>N/A</x:v>
      </x:c>
      <x:c r="M39" s="143" t="str">
        <x:v>Pass</x:v>
      </x:c>
      <x:c r="N39" s="145" t="str">
        <x:v>Pass</x:v>
      </x:c>
      <x:c r="O39" s="145" t="str">
        <x:v>Pass</x:v>
      </x:c>
      <x:c r="P39" s="82" t="str">
        <x:v>..\API Testing\Execution Results\Postman Reports\AE-API_Full-Collection_QA_2026-08-09-Run-Summary.md
..\API Testing\Execution Results\Postman Reports\AE-API_Full-Collection_QA_2026-08-09.reconstructed.postman_run.json
..\API Testing\Execution Results\Screenshots\API-PRODUCT-002.png
..\Automation\Execution Evidence\API-PRODUCT-002.png
..\Automation\test-results\qa-analytics\index.html</x:v>
      </x:c>
      <x:c r="Q39" s="82"/>
      <x:c r="R39" s="82" t="str">
        <x:v>200 transport | responseCode 405 | method not supported. Fresh Postman run: 3/3 assertions passed on 2026-08-09; full collection: 42/42 passed, 0 errors. Historical August 1 baseline remains retained separately for auditability.</x:v>
      </x:c>
    </x:row>
    <x:row r="40" ht="86.4000015258789" hidden="0" customHeight="1">
      <x:c r="A40" s="108" t="str">
        <x:v>REQ-API-003</x:v>
      </x:c>
      <x:c r="B40" s="109" t="str">
        <x:v>Site API Scenario</x:v>
      </x:c>
      <x:c r="C40" s="109" t="str">
        <x:v>SRC-API-03</x:v>
      </x:c>
      <x:c r="D40" s="109" t="str">
        <x:v>Brand API</x:v>
      </x:c>
      <x:c r="E40" s="143" t="str">
        <x:v>Get All Brands List</x:v>
      </x:c>
      <x:c r="F40" s="143" t="str">
        <x:v>API-BRAND-001</x:v>
      </x:c>
      <x:c r="G40" s="145" t="str">
        <x:v>Fully Covered</x:v>
      </x:c>
      <x:c r="H40" s="82" t="str">
        <x:v>Fresh Postman Collection Runner execution and independent Playwright verification both passed the HTTP transport, documented JSON responseCode, and scenario-specific payload or message assertions.</x:v>
      </x:c>
      <x:c r="I40" s="143" t="str">
        <x:v>API — Positive</x:v>
      </x:c>
      <x:c r="J40" s="143" t="str">
        <x:v>High</x:v>
      </x:c>
      <x:c r="K40" s="143" t="str">
        <x:v>QA | automationexercise.com</x:v>
      </x:c>
      <x:c r="L40" s="143" t="str">
        <x:v>N/A</x:v>
      </x:c>
      <x:c r="M40" s="143" t="str">
        <x:v>Pass</x:v>
      </x:c>
      <x:c r="N40" s="145" t="str">
        <x:v>Pass</x:v>
      </x:c>
      <x:c r="O40" s="145" t="str">
        <x:v>Pass</x:v>
      </x:c>
      <x:c r="P40" s="82" t="str">
        <x:v>..\API Testing\Execution Results\Postman Reports\AE-API_Full-Collection_QA_2026-08-09-Run-Summary.md
..\API Testing\Execution Results\Postman Reports\AE-API_Full-Collection_QA_2026-08-09.reconstructed.postman_run.json
..\API Testing\Execution Results\Screenshots\API-BRAND-001.png
..\Automation\Execution Evidence\API-BRAND-001.png
..\Automation\test-results\qa-analytics\index.html</x:v>
      </x:c>
      <x:c r="Q40" s="82"/>
      <x:c r="R40" s="82" t="str">
        <x:v>200 | brands list returned. Fresh Postman run: 3/3 assertions passed on 2026-08-09; full collection: 42/42 passed, 0 errors. Historical August 1 baseline remains retained separately for auditability.</x:v>
      </x:c>
    </x:row>
    <x:row r="41" ht="86.4000015258789" hidden="0" customHeight="1">
      <x:c r="A41" s="108" t="str">
        <x:v>REQ-API-004</x:v>
      </x:c>
      <x:c r="B41" s="109" t="str">
        <x:v>Site API Scenario</x:v>
      </x:c>
      <x:c r="C41" s="109" t="str">
        <x:v>SRC-API-04</x:v>
      </x:c>
      <x:c r="D41" s="109" t="str">
        <x:v>Brand API</x:v>
      </x:c>
      <x:c r="E41" s="143" t="str">
        <x:v>PUT To All Brands List</x:v>
      </x:c>
      <x:c r="F41" s="143" t="str">
        <x:v>API-BRAND-002</x:v>
      </x:c>
      <x:c r="G41" s="145" t="str">
        <x:v>Fully Covered</x:v>
      </x:c>
      <x:c r="H41" s="82" t="str">
        <x:v>Fresh Postman Collection Runner execution and independent Playwright verification both passed the HTTP transport, documented JSON responseCode, and scenario-specific payload or message assertions.</x:v>
      </x:c>
      <x:c r="I41" s="143" t="str">
        <x:v>API — Negative</x:v>
      </x:c>
      <x:c r="J41" s="143" t="str">
        <x:v>Medium</x:v>
      </x:c>
      <x:c r="K41" s="143" t="str">
        <x:v>QA | automationexercise.com</x:v>
      </x:c>
      <x:c r="L41" s="143" t="str">
        <x:v>N/A</x:v>
      </x:c>
      <x:c r="M41" s="143" t="str">
        <x:v>Pass</x:v>
      </x:c>
      <x:c r="N41" s="145" t="str">
        <x:v>Pass</x:v>
      </x:c>
      <x:c r="O41" s="145" t="str">
        <x:v>Pass</x:v>
      </x:c>
      <x:c r="P41" s="82" t="str">
        <x:v>..\API Testing\Execution Results\Postman Reports\AE-API_Full-Collection_QA_2026-08-09-Run-Summary.md
..\API Testing\Execution Results\Postman Reports\AE-API_Full-Collection_QA_2026-08-09.reconstructed.postman_run.json
..\API Testing\Execution Results\Screenshots\API-BRAND-002.png
..\Automation\Execution Evidence\API-BRAND-002.png
..\Automation\test-results\qa-analytics\index.html</x:v>
      </x:c>
      <x:c r="Q41" s="82"/>
      <x:c r="R41" s="82" t="str">
        <x:v>200 transport | responseCode 405 | method not supported. Fresh Postman run: 3/3 assertions passed on 2026-08-09; full collection: 42/42 passed, 0 errors. Historical August 1 baseline remains retained separately for auditability.</x:v>
      </x:c>
    </x:row>
    <x:row r="42" ht="86.4000015258789" hidden="0" customHeight="1">
      <x:c r="A42" s="108" t="str">
        <x:v>REQ-API-005</x:v>
      </x:c>
      <x:c r="B42" s="109" t="str">
        <x:v>Site API Scenario</x:v>
      </x:c>
      <x:c r="C42" s="109" t="str">
        <x:v>SRC-API-05</x:v>
      </x:c>
      <x:c r="D42" s="109" t="str">
        <x:v>Search API</x:v>
      </x:c>
      <x:c r="E42" s="143" t="str">
        <x:v>POST To Search Product</x:v>
      </x:c>
      <x:c r="F42" s="143" t="str">
        <x:v>API-SEARCH-001</x:v>
      </x:c>
      <x:c r="G42" s="145" t="str">
        <x:v>Fully Covered</x:v>
      </x:c>
      <x:c r="H42" s="82" t="str">
        <x:v>Fresh Postman Collection Runner execution and independent Playwright verification both passed the HTTP transport, documented JSON responseCode, and scenario-specific payload or message assertions.</x:v>
      </x:c>
      <x:c r="I42" s="143" t="str">
        <x:v>API — Positive</x:v>
      </x:c>
      <x:c r="J42" s="143" t="str">
        <x:v>High</x:v>
      </x:c>
      <x:c r="K42" s="143" t="str">
        <x:v>QA | automationexercise.com</x:v>
      </x:c>
      <x:c r="L42" s="143" t="str">
        <x:v>N/A</x:v>
      </x:c>
      <x:c r="M42" s="143" t="str">
        <x:v>Pass</x:v>
      </x:c>
      <x:c r="N42" s="145" t="str">
        <x:v>Pass</x:v>
      </x:c>
      <x:c r="O42" s="145" t="str">
        <x:v>Pass</x:v>
      </x:c>
      <x:c r="P42" s="82" t="str">
        <x:v>..\API Testing\Execution Results\Postman Reports\AE-API_Full-Collection_QA_2026-08-09-Run-Summary.md
..\API Testing\Execution Results\Postman Reports\AE-API_Full-Collection_QA_2026-08-09.reconstructed.postman_run.json
..\API Testing\Execution Results\Screenshots\API-SEARCH-001.png
..\Automation\Execution Evidence\API-SEARCH-001.png
..\Automation\test-results\qa-analytics\index.html</x:v>
      </x:c>
      <x:c r="Q42" s="82"/>
      <x:c r="R42" s="82" t="str">
        <x:v>200 | searched products list returned. Fresh Postman run: 3/3 assertions passed on 2026-08-09; full collection: 42/42 passed, 0 errors. Historical August 1 baseline remains retained separately for auditability.</x:v>
      </x:c>
    </x:row>
    <x:row r="43" ht="86.4000015258789" hidden="0" customHeight="1">
      <x:c r="A43" s="108" t="str">
        <x:v>REQ-API-006</x:v>
      </x:c>
      <x:c r="B43" s="109" t="str">
        <x:v>Site API Scenario</x:v>
      </x:c>
      <x:c r="C43" s="109" t="str">
        <x:v>SRC-API-06</x:v>
      </x:c>
      <x:c r="D43" s="109" t="str">
        <x:v>Search API</x:v>
      </x:c>
      <x:c r="E43" s="143" t="str">
        <x:v>POST To Search Product without search_product 
parameter</x:v>
      </x:c>
      <x:c r="F43" s="143" t="str">
        <x:v>API-SEARCH-002</x:v>
      </x:c>
      <x:c r="G43" s="145" t="str">
        <x:v>Fully Covered</x:v>
      </x:c>
      <x:c r="H43" s="82" t="str">
        <x:v>Fresh Postman Collection Runner execution and independent Playwright verification both passed the HTTP transport, documented JSON responseCode, and scenario-specific payload or message assertions.</x:v>
      </x:c>
      <x:c r="I43" s="143" t="str">
        <x:v>API — Negative</x:v>
      </x:c>
      <x:c r="J43" s="143" t="str">
        <x:v>High</x:v>
      </x:c>
      <x:c r="K43" s="143" t="str">
        <x:v>QA | automationexercise.com</x:v>
      </x:c>
      <x:c r="L43" s="143" t="str">
        <x:v>N/A</x:v>
      </x:c>
      <x:c r="M43" s="143" t="str">
        <x:v>Pass</x:v>
      </x:c>
      <x:c r="N43" s="145" t="str">
        <x:v>Pass</x:v>
      </x:c>
      <x:c r="O43" s="145" t="str">
        <x:v>Pass</x:v>
      </x:c>
      <x:c r="P43" s="82" t="str">
        <x:v>..\API Testing\Execution Results\Postman Reports\AE-API_Full-Collection_QA_2026-08-09-Run-Summary.md
..\API Testing\Execution Results\Postman Reports\AE-API_Full-Collection_QA_2026-08-09.reconstructed.postman_run.json
..\API Testing\Execution Results\Screenshots\API-SEARCH-002.png
..\Automation\Execution Evidence\API-SEARCH-002.png
..\Automation\test-results\qa-analytics\index.html</x:v>
      </x:c>
      <x:c r="Q43" s="82"/>
      <x:c r="R43" s="82" t="str">
        <x:v>200 transport | responseCode 400 | missing search_product message returned. Fresh Postman run: 3/3 assertions passed on 2026-08-09; full collection: 42/42 passed, 0 errors. Historical August 1 baseline remains retained separately for auditability.</x:v>
      </x:c>
    </x:row>
    <x:row r="44" ht="86.4000015258789" hidden="0" customHeight="1">
      <x:c r="A44" s="108" t="str">
        <x:v>REQ-API-007</x:v>
      </x:c>
      <x:c r="B44" s="109" t="str">
        <x:v>Site API Scenario</x:v>
      </x:c>
      <x:c r="C44" s="109" t="str">
        <x:v>SRC-API-07</x:v>
      </x:c>
      <x:c r="D44" s="109" t="str">
        <x:v>Authentication API</x:v>
      </x:c>
      <x:c r="E44" s="143" t="str">
        <x:v>POST To Verify Login with valid details</x:v>
      </x:c>
      <x:c r="F44" s="143" t="str">
        <x:v>API-AUTH-001</x:v>
      </x:c>
      <x:c r="G44" s="145" t="str">
        <x:v>Fully Covered</x:v>
      </x:c>
      <x:c r="H44" s="82" t="str">
        <x:v>Fresh Postman Collection Runner execution and independent Playwright verification both passed the HTTP transport, documented JSON responseCode, and scenario-specific payload or message assertions.</x:v>
      </x:c>
      <x:c r="I44" s="143" t="str">
        <x:v>API — Positive</x:v>
      </x:c>
      <x:c r="J44" s="143" t="str">
        <x:v>Critical</x:v>
      </x:c>
      <x:c r="K44" s="143" t="str">
        <x:v>QA | automationexercise.com</x:v>
      </x:c>
      <x:c r="L44" s="143" t="str">
        <x:v>N/A</x:v>
      </x:c>
      <x:c r="M44" s="143" t="str">
        <x:v>Pass</x:v>
      </x:c>
      <x:c r="N44" s="145" t="str">
        <x:v>Pass</x:v>
      </x:c>
      <x:c r="O44" s="145" t="str">
        <x:v>Pass</x:v>
      </x:c>
      <x:c r="P44" s="82" t="str">
        <x:v>..\API Testing\Execution Results\Postman Reports\AE-API_Full-Collection_QA_2026-08-09-Run-Summary.md
..\API Testing\Execution Results\Postman Reports\AE-API_Full-Collection_QA_2026-08-09.reconstructed.postman_run.json
..\API Testing\Execution Results\Screenshots\API-AUTH-001.png
..\Automation\Execution Evidence\API-AUTH-001.png
..\Automation\test-results\qa-analytics\index.html</x:v>
      </x:c>
      <x:c r="Q44" s="82"/>
      <x:c r="R44" s="82" t="str">
        <x:v>200 transport | responseCode 200 | User exists!. Fresh Postman run: 3/3 assertions passed on 2026-08-09; full collection: 42/42 passed, 0 errors. Historical August 1 baseline remains retained separately for auditability.</x:v>
      </x:c>
    </x:row>
    <x:row r="45" ht="86.4000015258789" hidden="0" customHeight="1">
      <x:c r="A45" s="108" t="str">
        <x:v>REQ-API-008</x:v>
      </x:c>
      <x:c r="B45" s="109" t="str">
        <x:v>Site API Scenario</x:v>
      </x:c>
      <x:c r="C45" s="109" t="str">
        <x:v>SRC-API-08</x:v>
      </x:c>
      <x:c r="D45" s="109" t="str">
        <x:v>Authentication API</x:v>
      </x:c>
      <x:c r="E45" s="143" t="str">
        <x:v>POST To Verify Login without email parameter</x:v>
      </x:c>
      <x:c r="F45" s="143" t="str">
        <x:v>API-AUTH-002</x:v>
      </x:c>
      <x:c r="G45" s="145" t="str">
        <x:v>Fully Covered</x:v>
      </x:c>
      <x:c r="H45" s="82" t="str">
        <x:v>Fresh Postman Collection Runner execution and independent Playwright verification both passed the HTTP transport, documented JSON responseCode, and scenario-specific payload or message assertions.</x:v>
      </x:c>
      <x:c r="I45" s="143" t="str">
        <x:v>API — Negative</x:v>
      </x:c>
      <x:c r="J45" s="143" t="str">
        <x:v>High</x:v>
      </x:c>
      <x:c r="K45" s="143" t="str">
        <x:v>QA | automationexercise.com</x:v>
      </x:c>
      <x:c r="L45" s="143" t="str">
        <x:v>N/A</x:v>
      </x:c>
      <x:c r="M45" s="143" t="str">
        <x:v>Pass</x:v>
      </x:c>
      <x:c r="N45" s="145" t="str">
        <x:v>Pass</x:v>
      </x:c>
      <x:c r="O45" s="145" t="str">
        <x:v>Pass</x:v>
      </x:c>
      <x:c r="P45" s="82" t="str">
        <x:v>..\API Testing\Execution Results\Postman Reports\AE-API_Full-Collection_QA_2026-08-09-Run-Summary.md
..\API Testing\Execution Results\Postman Reports\AE-API_Full-Collection_QA_2026-08-09.reconstructed.postman_run.json
..\API Testing\Execution Results\Screenshots\API-AUTH-002.png
..\Automation\Execution Evidence\API-AUTH-002.png
..\Automation\test-results\qa-analytics\index.html</x:v>
      </x:c>
      <x:c r="Q45" s="82"/>
      <x:c r="R45" s="82" t="str">
        <x:v>200 transport | responseCode 400 | missing credential message returned. Fresh Postman run: 3/3 assertions passed on 2026-08-09; full collection: 42/42 passed, 0 errors. Historical August 1 baseline remains retained separately for auditability.</x:v>
      </x:c>
    </x:row>
    <x:row r="46" ht="86.4000015258789" hidden="0" customHeight="1">
      <x:c r="A46" s="108" t="str">
        <x:v>REQ-API-009</x:v>
      </x:c>
      <x:c r="B46" s="109" t="str">
        <x:v>Site API Scenario</x:v>
      </x:c>
      <x:c r="C46" s="109" t="str">
        <x:v>SRC-API-09</x:v>
      </x:c>
      <x:c r="D46" s="109" t="str">
        <x:v>Authentication API</x:v>
      </x:c>
      <x:c r="E46" s="143" t="str">
        <x:v>DELETE To Verify Login</x:v>
      </x:c>
      <x:c r="F46" s="143" t="str">
        <x:v>API-AUTH-003</x:v>
      </x:c>
      <x:c r="G46" s="145" t="str">
        <x:v>Fully Covered</x:v>
      </x:c>
      <x:c r="H46" s="82" t="str">
        <x:v>Fresh Postman Collection Runner execution and independent Playwright verification both passed the HTTP transport, documented JSON responseCode, and scenario-specific payload or message assertions.</x:v>
      </x:c>
      <x:c r="I46" s="143" t="str">
        <x:v>API — Negative</x:v>
      </x:c>
      <x:c r="J46" s="143" t="str">
        <x:v>Medium</x:v>
      </x:c>
      <x:c r="K46" s="143" t="str">
        <x:v>QA | automationexercise.com</x:v>
      </x:c>
      <x:c r="L46" s="143" t="str">
        <x:v>N/A</x:v>
      </x:c>
      <x:c r="M46" s="143" t="str">
        <x:v>Pass</x:v>
      </x:c>
      <x:c r="N46" s="145" t="str">
        <x:v>Pass</x:v>
      </x:c>
      <x:c r="O46" s="145" t="str">
        <x:v>Pass</x:v>
      </x:c>
      <x:c r="P46" s="82" t="str">
        <x:v>..\API Testing\Execution Results\Postman Reports\AE-API_Full-Collection_QA_2026-08-09-Run-Summary.md
..\API Testing\Execution Results\Postman Reports\AE-API_Full-Collection_QA_2026-08-09.reconstructed.postman_run.json
..\API Testing\Execution Results\Screenshots\API-AUTH-003.png
..\Automation\Execution Evidence\API-AUTH-003.png
..\Automation\test-results\qa-analytics\index.html</x:v>
      </x:c>
      <x:c r="Q46" s="82"/>
      <x:c r="R46" s="82" t="str">
        <x:v>200 transport | responseCode 405 | method not supported. Fresh Postman run: 3/3 assertions passed on 2026-08-09; full collection: 42/42 passed, 0 errors. Historical August 1 baseline remains retained separately for auditability.</x:v>
      </x:c>
    </x:row>
    <x:row r="47" ht="86.4000015258789" hidden="0" customHeight="1">
      <x:c r="A47" s="108" t="str">
        <x:v>REQ-API-010</x:v>
      </x:c>
      <x:c r="B47" s="109" t="str">
        <x:v>Site API Scenario</x:v>
      </x:c>
      <x:c r="C47" s="109" t="str">
        <x:v>SRC-API-10</x:v>
      </x:c>
      <x:c r="D47" s="109" t="str">
        <x:v>Authentication API</x:v>
      </x:c>
      <x:c r="E47" s="143" t="str">
        <x:v>POST To Verify Login with invalid details</x:v>
      </x:c>
      <x:c r="F47" s="143" t="str">
        <x:v>API-AUTH-004</x:v>
      </x:c>
      <x:c r="G47" s="145" t="str">
        <x:v>Fully Covered</x:v>
      </x:c>
      <x:c r="H47" s="82" t="str">
        <x:v>Fresh Postman Collection Runner execution and independent Playwright verification both passed the HTTP transport, documented JSON responseCode, and scenario-specific payload or message assertions.</x:v>
      </x:c>
      <x:c r="I47" s="143" t="str">
        <x:v>API — Negative</x:v>
      </x:c>
      <x:c r="J47" s="143" t="str">
        <x:v>High</x:v>
      </x:c>
      <x:c r="K47" s="143" t="str">
        <x:v>QA | automationexercise.com</x:v>
      </x:c>
      <x:c r="L47" s="143" t="str">
        <x:v>N/A</x:v>
      </x:c>
      <x:c r="M47" s="143" t="str">
        <x:v>Pass</x:v>
      </x:c>
      <x:c r="N47" s="145" t="str">
        <x:v>Pass</x:v>
      </x:c>
      <x:c r="O47" s="145" t="str">
        <x:v>Pass</x:v>
      </x:c>
      <x:c r="P47" s="82" t="str">
        <x:v>..\API Testing\Execution Results\Postman Reports\AE-API_Full-Collection_QA_2026-08-09-Run-Summary.md
..\API Testing\Execution Results\Postman Reports\AE-API_Full-Collection_QA_2026-08-09.reconstructed.postman_run.json
..\API Testing\Execution Results\Screenshots\API-AUTH-004.png
..\Automation\Execution Evidence\API-AUTH-004.png
..\Automation\test-results\qa-analytics\index.html</x:v>
      </x:c>
      <x:c r="Q47" s="82"/>
      <x:c r="R47" s="82" t="str">
        <x:v>200 transport | responseCode 404 | User not found!. Fresh Postman run: 3/3 assertions passed on 2026-08-09; full collection: 42/42 passed, 0 errors. Historical August 1 baseline remains retained separately for auditability.</x:v>
      </x:c>
    </x:row>
    <x:row r="48" ht="86.4000015258789" hidden="0" customHeight="1">
      <x:c r="A48" s="108" t="str">
        <x:v>REQ-API-011</x:v>
      </x:c>
      <x:c r="B48" s="109" t="str">
        <x:v>Site API Scenario</x:v>
      </x:c>
      <x:c r="C48" s="109" t="str">
        <x:v>SRC-API-11</x:v>
      </x:c>
      <x:c r="D48" s="109" t="str">
        <x:v>Account API</x:v>
      </x:c>
      <x:c r="E48" s="143" t="str">
        <x:v>POST To Create/Register User Account</x:v>
      </x:c>
      <x:c r="F48" s="143" t="str">
        <x:v>API-ACCOUNT-001</x:v>
      </x:c>
      <x:c r="G48" s="145" t="str">
        <x:v>Fully Covered</x:v>
      </x:c>
      <x:c r="H48" s="82" t="str">
        <x:v>Fresh Postman Collection Runner execution and independent Playwright verification both passed the HTTP transport, documented JSON responseCode, and scenario-specific payload or message assertions.</x:v>
      </x:c>
      <x:c r="I48" s="143" t="str">
        <x:v>API — Positive</x:v>
      </x:c>
      <x:c r="J48" s="143" t="str">
        <x:v>Critical</x:v>
      </x:c>
      <x:c r="K48" s="143" t="str">
        <x:v>QA | automationexercise.com</x:v>
      </x:c>
      <x:c r="L48" s="143" t="str">
        <x:v>N/A</x:v>
      </x:c>
      <x:c r="M48" s="143" t="str">
        <x:v>Pass</x:v>
      </x:c>
      <x:c r="N48" s="145" t="str">
        <x:v>Pass</x:v>
      </x:c>
      <x:c r="O48" s="145" t="str">
        <x:v>Pass</x:v>
      </x:c>
      <x:c r="P48" s="82" t="str">
        <x:v>..\API Testing\Execution Results\Postman Reports\AE-API_Full-Collection_QA_2026-08-09-Run-Summary.md
..\API Testing\Execution Results\Postman Reports\AE-API_Full-Collection_QA_2026-08-09.reconstructed.postman_run.json
..\API Testing\Execution Results\Screenshots\API-ACCOUNT-001.png
..\Automation\Execution Evidence\API-ACCOUNT-001.png
..\Automation\test-results\qa-analytics\index.html</x:v>
      </x:c>
      <x:c r="Q48" s="82"/>
      <x:c r="R48" s="82" t="str">
        <x:v>200 transport | responseCode 201 | User created!. Fresh Postman run: 3/3 assertions passed on 2026-08-09; full collection: 42/42 passed, 0 errors. Historical August 1 baseline remains retained separately for auditability.</x:v>
      </x:c>
    </x:row>
    <x:row r="49" ht="86.4000015258789" hidden="0" customHeight="1">
      <x:c r="A49" s="108" t="str">
        <x:v>REQ-API-012</x:v>
      </x:c>
      <x:c r="B49" s="109" t="str">
        <x:v>Site API Scenario</x:v>
      </x:c>
      <x:c r="C49" s="109" t="str">
        <x:v>SRC-API-12</x:v>
      </x:c>
      <x:c r="D49" s="109" t="str">
        <x:v>Account API</x:v>
      </x:c>
      <x:c r="E49" s="143" t="str">
        <x:v>DELETE METHOD To Delete User Account</x:v>
      </x:c>
      <x:c r="F49" s="143" t="str">
        <x:v>API-ACCOUNT-002</x:v>
      </x:c>
      <x:c r="G49" s="145" t="str">
        <x:v>Fully Covered</x:v>
      </x:c>
      <x:c r="H49" s="82" t="str">
        <x:v>Fresh Postman Collection Runner execution and independent Playwright verification both passed the HTTP transport, documented JSON responseCode, and scenario-specific payload or message assertions.</x:v>
      </x:c>
      <x:c r="I49" s="143" t="str">
        <x:v>API — Positive</x:v>
      </x:c>
      <x:c r="J49" s="143" t="str">
        <x:v>Critical</x:v>
      </x:c>
      <x:c r="K49" s="143" t="str">
        <x:v>QA | automationexercise.com</x:v>
      </x:c>
      <x:c r="L49" s="143" t="str">
        <x:v>N/A</x:v>
      </x:c>
      <x:c r="M49" s="143" t="str">
        <x:v>Pass</x:v>
      </x:c>
      <x:c r="N49" s="145" t="str">
        <x:v>Pass</x:v>
      </x:c>
      <x:c r="O49" s="145" t="str">
        <x:v>Pass</x:v>
      </x:c>
      <x:c r="P49" s="82" t="str">
        <x:v>..\API Testing\Execution Results\Postman Reports\AE-API_Full-Collection_QA_2026-08-09-Run-Summary.md
..\API Testing\Execution Results\Postman Reports\AE-API_Full-Collection_QA_2026-08-09.reconstructed.postman_run.json
..\API Testing\Execution Results\Screenshots\API-ACCOUNT-002.png
..\Automation\Execution Evidence\API-ACCOUNT-002.png
..\Automation\test-results\qa-analytics\index.html</x:v>
      </x:c>
      <x:c r="Q49" s="82"/>
      <x:c r="R49" s="82" t="str">
        <x:v>200 transport | responseCode 200 | Account deleted!. Fresh Postman run: 3/3 assertions passed on 2026-08-09; full collection: 42/42 passed, 0 errors. Historical August 1 baseline remains retained separately for auditability.</x:v>
      </x:c>
    </x:row>
    <x:row r="50" ht="86.4000015258789" hidden="0" customHeight="1">
      <x:c r="A50" s="108" t="str">
        <x:v>REQ-API-013</x:v>
      </x:c>
      <x:c r="B50" s="109" t="str">
        <x:v>Site API Scenario</x:v>
      </x:c>
      <x:c r="C50" s="109" t="str">
        <x:v>SRC-API-13</x:v>
      </x:c>
      <x:c r="D50" s="109" t="str">
        <x:v>Account API</x:v>
      </x:c>
      <x:c r="E50" s="143" t="str">
        <x:v>PUT METHOD To Update User Account</x:v>
      </x:c>
      <x:c r="F50" s="143" t="str">
        <x:v>API-ACCOUNT-003</x:v>
      </x:c>
      <x:c r="G50" s="145" t="str">
        <x:v>Fully Covered</x:v>
      </x:c>
      <x:c r="H50" s="82" t="str">
        <x:v>Fresh Postman Collection Runner execution and independent Playwright verification both passed the HTTP transport, documented JSON responseCode, and scenario-specific payload or message assertions.</x:v>
      </x:c>
      <x:c r="I50" s="143" t="str">
        <x:v>API — Positive</x:v>
      </x:c>
      <x:c r="J50" s="143" t="str">
        <x:v>High</x:v>
      </x:c>
      <x:c r="K50" s="143" t="str">
        <x:v>QA | automationexercise.com</x:v>
      </x:c>
      <x:c r="L50" s="143" t="str">
        <x:v>N/A</x:v>
      </x:c>
      <x:c r="M50" s="143" t="str">
        <x:v>Pass</x:v>
      </x:c>
      <x:c r="N50" s="145" t="str">
        <x:v>Pass</x:v>
      </x:c>
      <x:c r="O50" s="145" t="str">
        <x:v>Pass</x:v>
      </x:c>
      <x:c r="P50" s="82" t="str">
        <x:v>..\API Testing\Execution Results\Postman Reports\AE-API_Full-Collection_QA_2026-08-09-Run-Summary.md
..\API Testing\Execution Results\Postman Reports\AE-API_Full-Collection_QA_2026-08-09.reconstructed.postman_run.json
..\API Testing\Execution Results\Screenshots\API-ACCOUNT-003.png
..\Automation\Execution Evidence\API-ACCOUNT-003.png
..\Automation\test-results\qa-analytics\index.html</x:v>
      </x:c>
      <x:c r="Q50" s="82"/>
      <x:c r="R50" s="82" t="str">
        <x:v>200 transport | responseCode 200 | User updated!. Fresh Postman run: 3/3 assertions passed on 2026-08-09; full collection: 42/42 passed, 0 errors. Historical August 1 baseline remains retained separately for auditability.</x:v>
      </x:c>
    </x:row>
    <x:row r="51" ht="86.4000015258789" hidden="0" customHeight="1">
      <x:c r="A51" s="110" t="str">
        <x:v>REQ-API-014</x:v>
      </x:c>
      <x:c r="B51" s="111" t="str">
        <x:v>Site API Scenario</x:v>
      </x:c>
      <x:c r="C51" s="111" t="str">
        <x:v>SRC-API-14</x:v>
      </x:c>
      <x:c r="D51" s="111" t="str">
        <x:v>Account API</x:v>
      </x:c>
      <x:c r="E51" s="143" t="str">
        <x:v>GET user account detail by email</x:v>
      </x:c>
      <x:c r="F51" s="143" t="str">
        <x:v>API-ACCOUNT-004</x:v>
      </x:c>
      <x:c r="G51" s="145" t="str">
        <x:v>Fully Covered</x:v>
      </x:c>
      <x:c r="H51" s="82" t="str">
        <x:v>Fresh Postman Collection Runner execution and independent Playwright verification both passed the HTTP transport, documented JSON responseCode, and scenario-specific payload or message assertions.</x:v>
      </x:c>
      <x:c r="I51" s="143" t="str">
        <x:v>API — Positive</x:v>
      </x:c>
      <x:c r="J51" s="143" t="str">
        <x:v>High</x:v>
      </x:c>
      <x:c r="K51" s="143" t="str">
        <x:v>QA | automationexercise.com</x:v>
      </x:c>
      <x:c r="L51" s="143" t="str">
        <x:v>N/A</x:v>
      </x:c>
      <x:c r="M51" s="143" t="str">
        <x:v>Pass</x:v>
      </x:c>
      <x:c r="N51" s="145" t="str">
        <x:v>Pass</x:v>
      </x:c>
      <x:c r="O51" s="145" t="str">
        <x:v>Pass</x:v>
      </x:c>
      <x:c r="P51" s="82" t="str">
        <x:v>..\API Testing\Execution Results\Postman Reports\AE-API_Full-Collection_QA_2026-08-09-Run-Summary.md
..\API Testing\Execution Results\Postman Reports\AE-API_Full-Collection_QA_2026-08-09.reconstructed.postman_run.json
..\API Testing\Execution Results\Screenshots\API-ACCOUNT-004.png
..\Automation\Execution Evidence\API-ACCOUNT-004.png
..\Automation\test-results\qa-analytics\index.html</x:v>
      </x:c>
      <x:c r="Q51" s="82"/>
      <x:c r="R51" s="82" t="str">
        <x:v>200 transport | responseCode 200 | user detail returned. Fresh Postman run: 3/3 assertions passed on 2026-08-09; full collection: 42/42 passed, 0 errors. Historical August 1 baseline remains retained separately for auditability.</x:v>
      </x:c>
    </x:row>
    <x:row r="52" ht="57" customHeight="1">
      <x:c r="F52" s="21"/>
      <x:c r="G52" s="21"/>
      <x:c r="H52" s="21"/>
      <x:c r="I52" s="22"/>
      <x:c r="J52" s="22"/>
      <x:c r="K52" s="22"/>
      <x:c r="L52" s="21"/>
      <x:c r="M52" s="21"/>
    </x:row>
    <x:row r="53" ht="57" customHeight="1">
      <x:c r="F53" s="21"/>
      <x:c r="G53" s="21"/>
      <x:c r="H53" s="21"/>
      <x:c r="I53" s="21"/>
      <x:c r="J53" s="21"/>
      <x:c r="K53" s="21"/>
      <x:c r="L53" s="21"/>
      <x:c r="M53" s="21"/>
    </x:row>
  </x:sheetData>
  <x:mergeCells>
    <x:mergeCell ref="A1:M1"/>
    <x:mergeCell ref="A2:M2"/>
    <x:mergeCell ref="A4:M5"/>
  </x:mergeCells>
  <x:conditionalFormatting sqref="G8:G107">
    <x:cfRule type="containsText" dxfId="5" priority="1" operator="containsText" text="Fully Covered"/>
    <x:cfRule type="containsText" dxfId="4" priority="2" operator="containsText" text="Partially Covered"/>
    <x:cfRule type="containsText" dxfId="3" priority="3" operator="containsText" text="Not Covered"/>
  </x:conditionalFormatting>
  <x:conditionalFormatting sqref="K8:K107">
    <x:cfRule type="containsText" dxfId="2" priority="4" operator="containsText" text="Pass"/>
    <x:cfRule type="containsText" dxfId="1" priority="5" operator="containsText" text="Fail"/>
    <x:cfRule type="containsText" dxfId="0" priority="6" operator="containsText" text="Not Run"/>
  </x:conditionalFormatting>
  <x:conditionalFormatting sqref="L8:L107">
    <x:cfRule type="expression" dxfId="54" priority="47">
      <x:formula>L8="Pass"</x:formula>
    </x:cfRule>
    <x:cfRule type="expression" dxfId="55" priority="48">
      <x:formula>L8="Fail"</x:formula>
    </x:cfRule>
    <x:cfRule type="expression" dxfId="56" priority="49">
      <x:formula>L8="Error"</x:formula>
    </x:cfRule>
    <x:cfRule type="expression" dxfId="57" priority="50">
      <x:formula>L8="Blocked"</x:formula>
    </x:cfRule>
    <x:cfRule type="expression" dxfId="58" priority="51">
      <x:formula>L8="Inconclusive"</x:formula>
    </x:cfRule>
    <x:cfRule type="expression" dxfId="59" priority="52">
      <x:formula>L8="Not Run"</x:formula>
    </x:cfRule>
    <x:cfRule type="expression" dxfId="60" priority="53">
      <x:formula>L8="Not Automated"</x:formula>
    </x:cfRule>
    <x:cfRule type="expression" dxfId="61" priority="54">
      <x:formula>L8="N/A"</x:formula>
    </x:cfRule>
  </x:conditionalFormatting>
  <x:conditionalFormatting sqref="M8:M107">
    <x:cfRule type="expression" dxfId="62" priority="55">
      <x:formula>M8="Pass"</x:formula>
    </x:cfRule>
    <x:cfRule type="expression" dxfId="63" priority="56">
      <x:formula>M8="Fail"</x:formula>
    </x:cfRule>
    <x:cfRule type="expression" dxfId="64" priority="57">
      <x:formula>M8="Error"</x:formula>
    </x:cfRule>
    <x:cfRule type="expression" dxfId="65" priority="58">
      <x:formula>M8="Blocked"</x:formula>
    </x:cfRule>
    <x:cfRule type="expression" dxfId="66" priority="59">
      <x:formula>M8="Inconclusive"</x:formula>
    </x:cfRule>
    <x:cfRule type="expression" dxfId="67" priority="60">
      <x:formula>M8="Not Run"</x:formula>
    </x:cfRule>
    <x:cfRule type="expression" dxfId="68" priority="61">
      <x:formula>M8="Not Automated"</x:formula>
    </x:cfRule>
    <x:cfRule type="expression" dxfId="69" priority="62">
      <x:formula>M8="N/A"</x:formula>
    </x:cfRule>
  </x:conditionalFormatting>
  <x:conditionalFormatting sqref="N8:N107">
    <x:cfRule type="expression" dxfId="70" priority="63">
      <x:formula>N8="Pass"</x:formula>
    </x:cfRule>
    <x:cfRule type="expression" dxfId="71" priority="64">
      <x:formula>N8="Fail"</x:formula>
    </x:cfRule>
    <x:cfRule type="expression" dxfId="72" priority="65">
      <x:formula>N8="Error"</x:formula>
    </x:cfRule>
    <x:cfRule type="expression" dxfId="73" priority="66">
      <x:formula>N8="Blocked"</x:formula>
    </x:cfRule>
    <x:cfRule type="expression" dxfId="74" priority="67">
      <x:formula>N8="Inconclusive"</x:formula>
    </x:cfRule>
    <x:cfRule type="expression" dxfId="75" priority="68">
      <x:formula>N8="Not Run"</x:formula>
    </x:cfRule>
    <x:cfRule type="expression" dxfId="76" priority="69">
      <x:formula>N8="Not Automated"</x:formula>
    </x:cfRule>
    <x:cfRule type="expression" dxfId="77" priority="70">
      <x:formula>N8="N/A"</x:formula>
    </x:cfRule>
  </x:conditionalFormatting>
  <x:conditionalFormatting sqref="O8:O107">
    <x:cfRule type="expression" dxfId="78" priority="71">
      <x:formula>O8="Pass"</x:formula>
    </x:cfRule>
    <x:cfRule type="expression" dxfId="79" priority="72">
      <x:formula>O8="Fail"</x:formula>
    </x:cfRule>
    <x:cfRule type="expression" dxfId="80" priority="73">
      <x:formula>O8="Error"</x:formula>
    </x:cfRule>
    <x:cfRule type="expression" dxfId="81" priority="74">
      <x:formula>O8="Blocked"</x:formula>
    </x:cfRule>
    <x:cfRule type="expression" dxfId="82" priority="75">
      <x:formula>O8="Inconclusive"</x:formula>
    </x:cfRule>
    <x:cfRule type="expression" dxfId="83" priority="76">
      <x:formula>O8="Not Run"</x:formula>
    </x:cfRule>
    <x:cfRule type="expression" dxfId="84" priority="77">
      <x:formula>O8="Not Automated"</x:formula>
    </x:cfRule>
    <x:cfRule type="expression" dxfId="85" priority="78">
      <x:formula>O8="N/A"</x:formula>
    </x:cfRule>
  </x:conditionalFormatting>
  <x:dataValidations count="9">
    <x:dataValidation type="list" sqref="G8:G107">
      <x:formula1>"Fully Covered,Partially Covered,Not Covered"</x:formula1>
    </x:dataValidation>
    <x:dataValidation type="list" sqref="J8:J107">
      <x:formula1>"Critical,High,Medium,Low"</x:formula1>
    </x:dataValidation>
    <x:dataValidation type="list" sqref="K8:K107">
      <x:formula1>"QA"</x:formula1>
    </x:dataValidation>
    <x:dataValidation type="list" sqref="B8:B107">
      <x:formula1>"Site Scenario,Site API Scenario,Tester-Derived"</x:formula1>
    </x:dataValidation>
    <x:dataValidation type="list" sqref="I8:I107">
      <x:formula1>"Functional — Positive,Functional — Negative,Security — Negative,End-to-End — Positive,API — Positive,API — Negative"</x:formula1>
    </x:dataValidation>
    <x:dataValidation type="list" sqref="L8:L107">
      <x:formula1>"Pass,Fail,Blocked,Not Run,N/A"</x:formula1>
    </x:dataValidation>
    <x:dataValidation type="list" sqref="M8:M107">
      <x:formula1>"Pass,Fail,Error,Inconclusive,Not Run,N/A"</x:formula1>
    </x:dataValidation>
    <x:dataValidation type="list" sqref="N8:N107">
      <x:formula1>"Pass,Fail,Error,Blocked,Not Run,Not Automated,N/A"</x:formula1>
    </x:dataValidation>
    <x:dataValidation type="list" sqref="O8:O107">
      <x:formula1>"Pass,Fail,Blocked,Inconclusive,Not Run"</x:formula1>
    </x:dataValidation>
  </x:dataValidations>
  <x:pageMargins left="0.7" right="0.7" top="0.75" bottom="0.75" header="0.3" footer="0.3"/>
  <x:tableParts count="1">
    <x:tablePart xmlns:r="http://schemas.openxmlformats.org/officeDocument/2006/relationships" r:id="R686395056909448a"/>
  </x:tableParts>
</x:worksheet>
</file>

<file path=xl/worksheets/sheet3.xml><?xml version="1.0" encoding="utf-8"?>
<x:worksheet xmlns:x="http://schemas.openxmlformats.org/spreadsheetml/2006/main">
  <x:sheetViews>
    <x:sheetView showGridLines="0" workbookViewId="0"/>
  </x:sheetViews>
  <x:sheetFormatPr defaultRowHeight="14"/>
  <x:cols>
    <x:col min="1" max="1" width="20" customWidth="1"/>
    <x:col min="2" max="2" width="52" customWidth="1"/>
    <x:col min="3" max="3" width="14" customWidth="1"/>
    <x:col min="4" max="4" width="90" customWidth="1"/>
  </x:cols>
  <x:sheetData>
    <x:row r="1" ht="36" customHeight="1">
      <x:c r="A1" s="38" t="s">
        <x:v>18</x:v>
      </x:c>
      <x:c r="B1" s="38"/>
      <x:c r="C1" s="38"/>
      <x:c r="D1" s="38"/>
    </x:row>
    <x:row r="2" ht="24" customHeight="1">
      <x:c r="A2" s="39" t="s">
        <x:v>19</x:v>
      </x:c>
      <x:c r="B2" s="39"/>
      <x:c r="C2" s="39"/>
      <x:c r="D2" s="39"/>
    </x:row>
    <x:row r="4" ht="38" customHeight="1">
      <x:c r="A4" s="1" t="s">
        <x:v>20</x:v>
      </x:c>
      <x:c r="B4" s="2" t="s">
        <x:v>21</x:v>
      </x:c>
      <x:c r="C4" s="2" t="s">
        <x:v>22</x:v>
      </x:c>
      <x:c r="D4" s="3" t="s">
        <x:v>23</x:v>
      </x:c>
    </x:row>
    <x:row r="5" ht="216" hidden="0" customHeight="1">
      <x:c r="A5" s="4" t="s">
        <x:v>24</x:v>
      </x:c>
      <x:c r="B5" s="5" t="s">
        <x:v>25</x:v>
      </x:c>
      <x:c r="C5" s="5">
        <x:v>18</x:v>
      </x:c>
      <x:c r="D5" s="149" t="s">
        <x:v>26</x:v>
      </x:c>
    </x:row>
    <x:row r="6" ht="120" hidden="0" customHeight="1">
      <x:c r="A6" s="4" t="s">
        <x:v>27</x:v>
      </x:c>
      <x:c r="B6" s="5" t="s">
        <x:v>28</x:v>
      </x:c>
      <x:c r="C6" s="5">
        <x:v>10</x:v>
      </x:c>
      <x:c r="D6" s="149" t="s">
        <x:v>29</x:v>
      </x:c>
    </x:row>
    <x:row r="7" ht="96" hidden="0" customHeight="1">
      <x:c r="A7" s="4" t="s">
        <x:v>30</x:v>
      </x:c>
      <x:c r="B7" s="5" t="s">
        <x:v>31</x:v>
      </x:c>
      <x:c r="C7" s="5">
        <x:v>8</x:v>
      </x:c>
      <x:c r="D7" s="149" t="s">
        <x:v>32</x:v>
      </x:c>
    </x:row>
    <x:row r="8" ht="120" hidden="0" customHeight="1">
      <x:c r="A8" s="4" t="s">
        <x:v>33</x:v>
      </x:c>
      <x:c r="B8" s="5" t="s">
        <x:v>34</x:v>
      </x:c>
      <x:c r="C8" s="5">
        <x:v>10</x:v>
      </x:c>
      <x:c r="D8" s="149" t="s">
        <x:v>35</x:v>
      </x:c>
    </x:row>
    <x:row r="9" ht="96" hidden="0" customHeight="1">
      <x:c r="A9" s="4" t="s">
        <x:v>36</x:v>
      </x:c>
      <x:c r="B9" s="5" t="s">
        <x:v>37</x:v>
      </x:c>
      <x:c r="C9" s="5">
        <x:v>8</x:v>
      </x:c>
      <x:c r="D9" s="149" t="s">
        <x:v>38</x:v>
      </x:c>
    </x:row>
    <x:row r="10" ht="132" hidden="0" customHeight="1">
      <x:c r="A10" s="4" t="s">
        <x:v>39</x:v>
      </x:c>
      <x:c r="B10" s="5" t="s">
        <x:v>40</x:v>
      </x:c>
      <x:c r="C10" s="5">
        <x:v>11</x:v>
      </x:c>
      <x:c r="D10" s="149" t="s">
        <x:v>41</x:v>
      </x:c>
    </x:row>
    <x:row r="11" ht="60" hidden="0" customHeight="1">
      <x:c r="A11" s="4" t="s">
        <x:v>42</x:v>
      </x:c>
      <x:c r="B11" s="5" t="s">
        <x:v>43</x:v>
      </x:c>
      <x:c r="C11" s="5">
        <x:v>5</x:v>
      </x:c>
      <x:c r="D11" s="149" t="s">
        <x:v>44</x:v>
      </x:c>
    </x:row>
    <x:row r="12" ht="108" hidden="0" customHeight="1">
      <x:c r="A12" s="4" t="s">
        <x:v>45</x:v>
      </x:c>
      <x:c r="B12" s="5" t="s">
        <x:v>46</x:v>
      </x:c>
      <x:c r="C12" s="5">
        <x:v>9</x:v>
      </x:c>
      <x:c r="D12" s="149" t="s">
        <x:v>47</x:v>
      </x:c>
    </x:row>
    <x:row r="13" ht="96" hidden="0" customHeight="1">
      <x:c r="A13" s="4" t="s">
        <x:v>48</x:v>
      </x:c>
      <x:c r="B13" s="5" t="s">
        <x:v>49</x:v>
      </x:c>
      <x:c r="C13" s="5">
        <x:v>8</x:v>
      </x:c>
      <x:c r="D13" s="149" t="s">
        <x:v>50</x:v>
      </x:c>
    </x:row>
    <x:row r="14" ht="84" hidden="0" customHeight="1">
      <x:c r="A14" s="4" t="s">
        <x:v>51</x:v>
      </x:c>
      <x:c r="B14" s="5" t="s">
        <x:v>52</x:v>
      </x:c>
      <x:c r="C14" s="5">
        <x:v>7</x:v>
      </x:c>
      <x:c r="D14" s="149" t="s">
        <x:v>53</x:v>
      </x:c>
    </x:row>
    <x:row r="15" ht="96" hidden="0" customHeight="1">
      <x:c r="A15" s="4" t="s">
        <x:v>54</x:v>
      </x:c>
      <x:c r="B15" s="5" t="s">
        <x:v>55</x:v>
      </x:c>
      <x:c r="C15" s="5">
        <x:v>8</x:v>
      </x:c>
      <x:c r="D15" s="149" t="s">
        <x:v>56</x:v>
      </x:c>
    </x:row>
    <x:row r="16" ht="120" hidden="0" customHeight="1">
      <x:c r="A16" s="4" t="s">
        <x:v>57</x:v>
      </x:c>
      <x:c r="B16" s="5" t="s">
        <x:v>58</x:v>
      </x:c>
      <x:c r="C16" s="5">
        <x:v>10</x:v>
      </x:c>
      <x:c r="D16" s="149" t="s">
        <x:v>59</x:v>
      </x:c>
    </x:row>
    <x:row r="17" ht="108" hidden="0" customHeight="1">
      <x:c r="A17" s="4" t="s">
        <x:v>60</x:v>
      </x:c>
      <x:c r="B17" s="5" t="s">
        <x:v>61</x:v>
      </x:c>
      <x:c r="C17" s="5">
        <x:v>9</x:v>
      </x:c>
      <x:c r="D17" s="149" t="s">
        <x:v>62</x:v>
      </x:c>
    </x:row>
    <x:row r="18" ht="240" hidden="0" customHeight="1">
      <x:c r="A18" s="4" t="s">
        <x:v>63</x:v>
      </x:c>
      <x:c r="B18" s="5" t="s">
        <x:v>64</x:v>
      </x:c>
      <x:c r="C18" s="5">
        <x:v>20</x:v>
      </x:c>
      <x:c r="D18" s="149" t="s">
        <x:v>65</x:v>
      </x:c>
    </x:row>
    <x:row r="19" ht="216" hidden="0" customHeight="1">
      <x:c r="A19" s="4" t="s">
        <x:v>66</x:v>
      </x:c>
      <x:c r="B19" s="5" t="s">
        <x:v>67</x:v>
      </x:c>
      <x:c r="C19" s="5">
        <x:v>18</x:v>
      </x:c>
      <x:c r="D19" s="149" t="s">
        <x:v>68</x:v>
      </x:c>
    </x:row>
    <x:row r="20" ht="204" hidden="0" customHeight="1">
      <x:c r="A20" s="4" t="s">
        <x:v>69</x:v>
      </x:c>
      <x:c r="B20" s="5" t="s">
        <x:v>70</x:v>
      </x:c>
      <x:c r="C20" s="5">
        <x:v>17</x:v>
      </x:c>
      <x:c r="D20" s="149" t="s">
        <x:v>71</x:v>
      </x:c>
    </x:row>
    <x:row r="21" ht="96" hidden="0" customHeight="1">
      <x:c r="A21" s="4" t="s">
        <x:v>72</x:v>
      </x:c>
      <x:c r="B21" s="5" t="s">
        <x:v>73</x:v>
      </x:c>
      <x:c r="C21" s="5">
        <x:v>8</x:v>
      </x:c>
      <x:c r="D21" s="149" t="s">
        <x:v>74</x:v>
      </x:c>
    </x:row>
    <x:row r="22" ht="96" hidden="0" customHeight="1">
      <x:c r="A22" s="4" t="s">
        <x:v>75</x:v>
      </x:c>
      <x:c r="B22" s="5" t="s">
        <x:v>76</x:v>
      </x:c>
      <x:c r="C22" s="5">
        <x:v>8</x:v>
      </x:c>
      <x:c r="D22" s="149" t="s">
        <x:v>77</x:v>
      </x:c>
    </x:row>
    <x:row r="23" ht="96" hidden="0" customHeight="1">
      <x:c r="A23" s="4" t="s">
        <x:v>78</x:v>
      </x:c>
      <x:c r="B23" s="5" t="s">
        <x:v>79</x:v>
      </x:c>
      <x:c r="C23" s="5">
        <x:v>8</x:v>
      </x:c>
      <x:c r="D23" s="149" t="s">
        <x:v>80</x:v>
      </x:c>
    </x:row>
    <x:row r="24" ht="144" hidden="0" customHeight="1">
      <x:c r="A24" s="4" t="s">
        <x:v>81</x:v>
      </x:c>
      <x:c r="B24" s="5" t="s">
        <x:v>82</x:v>
      </x:c>
      <x:c r="C24" s="5">
        <x:v>12</x:v>
      </x:c>
      <x:c r="D24" s="149" t="s">
        <x:v>83</x:v>
      </x:c>
    </x:row>
    <x:row r="25" ht="108" hidden="0" customHeight="1">
      <x:c r="A25" s="4" t="s">
        <x:v>84</x:v>
      </x:c>
      <x:c r="B25" s="5" t="s">
        <x:v>85</x:v>
      </x:c>
      <x:c r="C25" s="5">
        <x:v>9</x:v>
      </x:c>
      <x:c r="D25" s="149" t="s">
        <x:v>86</x:v>
      </x:c>
    </x:row>
    <x:row r="26" ht="84" hidden="0" customHeight="1">
      <x:c r="A26" s="4" t="s">
        <x:v>87</x:v>
      </x:c>
      <x:c r="B26" s="5" t="s">
        <x:v>88</x:v>
      </x:c>
      <x:c r="C26" s="5">
        <x:v>7</x:v>
      </x:c>
      <x:c r="D26" s="149" t="s">
        <x:v>89</x:v>
      </x:c>
    </x:row>
    <x:row r="27" ht="180" hidden="0" customHeight="1">
      <x:c r="A27" s="4" t="s">
        <x:v>90</x:v>
      </x:c>
      <x:c r="B27" s="5" t="s">
        <x:v>91</x:v>
      </x:c>
      <x:c r="C27" s="5">
        <x:v>15</x:v>
      </x:c>
      <x:c r="D27" s="149" t="s">
        <x:v>92</x:v>
      </x:c>
    </x:row>
    <x:row r="28" ht="264" hidden="0" customHeight="1">
      <x:c r="A28" s="4" t="s">
        <x:v>93</x:v>
      </x:c>
      <x:c r="B28" s="5" t="s">
        <x:v>94</x:v>
      </x:c>
      <x:c r="C28" s="5">
        <x:v>22</x:v>
      </x:c>
      <x:c r="D28" s="149" t="s">
        <x:v>95</x:v>
      </x:c>
    </x:row>
    <x:row r="29" ht="84" hidden="0" customHeight="1">
      <x:c r="A29" s="4" t="s">
        <x:v>96</x:v>
      </x:c>
      <x:c r="B29" s="5" t="s">
        <x:v>97</x:v>
      </x:c>
      <x:c r="C29" s="5">
        <x:v>7</x:v>
      </x:c>
      <x:c r="D29" s="149" t="s">
        <x:v>98</x:v>
      </x:c>
    </x:row>
    <x:row r="30" ht="84" hidden="0" customHeight="1">
      <x:c r="A30" s="9" t="s">
        <x:v>99</x:v>
      </x:c>
      <x:c r="B30" s="10" t="s">
        <x:v>100</x:v>
      </x:c>
      <x:c r="C30" s="10">
        <x:v>7</x:v>
      </x:c>
      <x:c r="D30" s="150" t="s">
        <x:v>101</x:v>
      </x:c>
    </x:row>
  </x:sheetData>
  <x:mergeCells>
    <x:mergeCell ref="A1:D1"/>
    <x:mergeCell ref="A2:D2"/>
  </x:mergeCells>
  <x:pageMargins left="0.7" right="0.7" top="0.75" bottom="0.75" header="0.3" footer="0.3"/>
  <x:tableParts count="1">
    <x:tablePart xmlns:r="http://schemas.openxmlformats.org/officeDocument/2006/relationships" r:id="Rfc6391d83bfc461d"/>
  </x:tableParts>
</x:worksheet>
</file>

<file path=xl/worksheets/sheet4.xml><?xml version="1.0" encoding="utf-8"?>
<x:worksheet xmlns:x="http://schemas.openxmlformats.org/spreadsheetml/2006/main">
  <x:sheetViews>
    <x:sheetView showGridLines="0" workbookViewId="0"/>
  </x:sheetViews>
  <x:sheetFormatPr defaultRowHeight="14"/>
  <x:cols>
    <x:col min="1" max="1" width="18" customWidth="1"/>
    <x:col min="2" max="2" width="48" customWidth="1"/>
    <x:col min="3" max="3" width="52" customWidth="1"/>
    <x:col min="4" max="4" width="18" customWidth="1"/>
    <x:col min="5" max="5" width="58" customWidth="1"/>
    <x:col min="6" max="6" width="16" customWidth="1"/>
    <x:col min="7" max="7" width="20" customWidth="1"/>
    <x:col min="8" max="8" width="48" customWidth="1"/>
  </x:cols>
  <x:sheetData>
    <x:row r="1" ht="36" customHeight="1">
      <x:c r="A1" s="53" t="s">
        <x:v>102</x:v>
      </x:c>
      <x:c r="B1" s="53"/>
      <x:c r="C1" s="53"/>
      <x:c r="D1" s="53"/>
      <x:c r="E1" s="53"/>
      <x:c r="F1" s="53"/>
      <x:c r="G1" s="53"/>
      <x:c r="H1" s="53"/>
    </x:row>
    <x:row r="2" ht="24" customHeight="1">
      <x:c r="A2" s="54" t="s">
        <x:v>103</x:v>
      </x:c>
      <x:c r="B2" s="54"/>
      <x:c r="C2" s="54"/>
      <x:c r="D2" s="54"/>
      <x:c r="E2" s="54"/>
      <x:c r="F2" s="54"/>
      <x:c r="G2" s="54"/>
      <x:c r="H2" s="54"/>
    </x:row>
    <x:row r="3">
      <x:c r="A3" t="str">
        <x:v>Official source note: the page labels the JSON responseCode as Response Code. Live transport HTTP status is 200 for all fourteen scenarios.</x:v>
      </x:c>
    </x:row>
    <x:row r="4" ht="42" customHeight="1">
      <x:c r="A4" s="16" t="s">
        <x:v>104</x:v>
      </x:c>
      <x:c r="B4" s="16" t="s">
        <x:v>21</x:v>
      </x:c>
      <x:c r="C4" s="16" t="s">
        <x:v>105</x:v>
      </x:c>
      <x:c r="D4" s="16" t="s">
        <x:v>106</x:v>
      </x:c>
      <x:c r="E4" s="16" t="s">
        <x:v>107</x:v>
      </x:c>
      <x:c r="F4" s="16" t="s">
        <x:v>108</x:v>
      </x:c>
      <x:c r="G4" s="16" t="s">
        <x:v>109</x:v>
      </x:c>
      <x:c r="H4" s="16" t="s">
        <x:v>110</x:v>
      </x:c>
    </x:row>
    <x:row r="5" ht="14" hidden="0" customHeight="1">
      <x:c r="A5" s="5" t="s">
        <x:v>111</x:v>
      </x:c>
      <x:c r="B5" s="62" t="s">
        <x:v>112</x:v>
      </x:c>
      <x:c r="C5" s="62" t="s">
        <x:v>113</x:v>
      </x:c>
      <x:c r="D5" s="62" t="s">
        <x:v>114</x:v>
      </x:c>
      <x:c r="E5" s="62"/>
      <x:c r="F5" s="62">
        <x:v>200</x:v>
      </x:c>
      <x:c r="G5" s="62" t="s">
        <x:v>115</x:v>
      </x:c>
      <x:c r="H5" s="62" t="s">
        <x:v>116</x:v>
      </x:c>
    </x:row>
    <x:row r="6" ht="14" hidden="0" customHeight="1">
      <x:c r="A6" s="5" t="s">
        <x:v>117</x:v>
      </x:c>
      <x:c r="B6" s="62" t="s">
        <x:v>118</x:v>
      </x:c>
      <x:c r="C6" s="62" t="s">
        <x:v>113</x:v>
      </x:c>
      <x:c r="D6" s="62" t="s">
        <x:v>119</x:v>
      </x:c>
      <x:c r="E6" s="62"/>
      <x:c r="F6" s="62">
        <x:v>405</x:v>
      </x:c>
      <x:c r="G6" s="62" t="s">
        <x:v>120</x:v>
      </x:c>
      <x:c r="H6" s="62" t="s">
        <x:v>121</x:v>
      </x:c>
    </x:row>
    <x:row r="7" ht="14" hidden="0" customHeight="1">
      <x:c r="A7" s="5" t="s">
        <x:v>122</x:v>
      </x:c>
      <x:c r="B7" s="62" t="s">
        <x:v>123</x:v>
      </x:c>
      <x:c r="C7" s="62" t="s">
        <x:v>124</x:v>
      </x:c>
      <x:c r="D7" s="62" t="s">
        <x:v>114</x:v>
      </x:c>
      <x:c r="E7" s="62"/>
      <x:c r="F7" s="62">
        <x:v>200</x:v>
      </x:c>
      <x:c r="G7" s="62" t="s">
        <x:v>115</x:v>
      </x:c>
      <x:c r="H7" s="62" t="s">
        <x:v>125</x:v>
      </x:c>
    </x:row>
    <x:row r="8" ht="14" hidden="0" customHeight="1">
      <x:c r="A8" s="5" t="s">
        <x:v>126</x:v>
      </x:c>
      <x:c r="B8" s="62" t="s">
        <x:v>127</x:v>
      </x:c>
      <x:c r="C8" s="62" t="s">
        <x:v>124</x:v>
      </x:c>
      <x:c r="D8" s="62" t="s">
        <x:v>128</x:v>
      </x:c>
      <x:c r="E8" s="62"/>
      <x:c r="F8" s="62">
        <x:v>405</x:v>
      </x:c>
      <x:c r="G8" s="62" t="s">
        <x:v>120</x:v>
      </x:c>
      <x:c r="H8" s="62" t="s">
        <x:v>121</x:v>
      </x:c>
    </x:row>
    <x:row r="9" ht="14" hidden="0" customHeight="1">
      <x:c r="A9" s="5" t="s">
        <x:v>129</x:v>
      </x:c>
      <x:c r="B9" s="62" t="s">
        <x:v>130</x:v>
      </x:c>
      <x:c r="C9" s="62" t="s">
        <x:v>131</x:v>
      </x:c>
      <x:c r="D9" s="62" t="s">
        <x:v>119</x:v>
      </x:c>
      <x:c r="E9" s="62" t="s">
        <x:v>132</x:v>
      </x:c>
      <x:c r="F9" s="62">
        <x:v>200</x:v>
      </x:c>
      <x:c r="G9" s="62" t="s">
        <x:v>115</x:v>
      </x:c>
      <x:c r="H9" s="62" t="s">
        <x:v>133</x:v>
      </x:c>
    </x:row>
    <x:row r="10" ht="14" hidden="0" customHeight="1">
      <x:c r="A10" s="5" t="s">
        <x:v>134</x:v>
      </x:c>
      <x:c r="B10" s="62" t="s">
        <x:v>135</x:v>
      </x:c>
      <x:c r="C10" s="62" t="s">
        <x:v>131</x:v>
      </x:c>
      <x:c r="D10" s="62" t="s">
        <x:v>119</x:v>
      </x:c>
      <x:c r="E10" s="62"/>
      <x:c r="F10" s="62">
        <x:v>400</x:v>
      </x:c>
      <x:c r="G10" s="62" t="s">
        <x:v>120</x:v>
      </x:c>
      <x:c r="H10" s="62" t="s">
        <x:v>136</x:v>
      </x:c>
    </x:row>
    <x:row r="11" ht="14" hidden="0" customHeight="1">
      <x:c r="A11" s="5" t="s">
        <x:v>137</x:v>
      </x:c>
      <x:c r="B11" s="62" t="s">
        <x:v>138</x:v>
      </x:c>
      <x:c r="C11" s="62" t="s">
        <x:v>139</x:v>
      </x:c>
      <x:c r="D11" s="62" t="s">
        <x:v>119</x:v>
      </x:c>
      <x:c r="E11" s="62" t="s">
        <x:v>140</x:v>
      </x:c>
      <x:c r="F11" s="62">
        <x:v>200</x:v>
      </x:c>
      <x:c r="G11" s="62" t="s">
        <x:v>120</x:v>
      </x:c>
      <x:c r="H11" s="62" t="s">
        <x:v>141</x:v>
      </x:c>
    </x:row>
    <x:row r="12" ht="14" hidden="0" customHeight="1">
      <x:c r="A12" s="5" t="s">
        <x:v>142</x:v>
      </x:c>
      <x:c r="B12" s="62" t="s">
        <x:v>143</x:v>
      </x:c>
      <x:c r="C12" s="62" t="s">
        <x:v>139</x:v>
      </x:c>
      <x:c r="D12" s="62" t="s">
        <x:v>119</x:v>
      </x:c>
      <x:c r="E12" s="62" t="s">
        <x:v>144</x:v>
      </x:c>
      <x:c r="F12" s="62">
        <x:v>400</x:v>
      </x:c>
      <x:c r="G12" s="62" t="s">
        <x:v>120</x:v>
      </x:c>
      <x:c r="H12" s="62" t="s">
        <x:v>145</x:v>
      </x:c>
    </x:row>
    <x:row r="13" ht="14" hidden="0" customHeight="1">
      <x:c r="A13" s="5" t="s">
        <x:v>146</x:v>
      </x:c>
      <x:c r="B13" s="62" t="s">
        <x:v>147</x:v>
      </x:c>
      <x:c r="C13" s="62" t="s">
        <x:v>139</x:v>
      </x:c>
      <x:c r="D13" s="62" t="s">
        <x:v>148</x:v>
      </x:c>
      <x:c r="E13" s="62"/>
      <x:c r="F13" s="62">
        <x:v>405</x:v>
      </x:c>
      <x:c r="G13" s="62" t="s">
        <x:v>120</x:v>
      </x:c>
      <x:c r="H13" s="62" t="s">
        <x:v>121</x:v>
      </x:c>
    </x:row>
    <x:row r="14" ht="14" hidden="0" customHeight="1">
      <x:c r="A14" s="5" t="s">
        <x:v>149</x:v>
      </x:c>
      <x:c r="B14" s="62" t="s">
        <x:v>150</x:v>
      </x:c>
      <x:c r="C14" s="62" t="s">
        <x:v>139</x:v>
      </x:c>
      <x:c r="D14" s="62" t="s">
        <x:v>119</x:v>
      </x:c>
      <x:c r="E14" s="62" t="s">
        <x:v>151</x:v>
      </x:c>
      <x:c r="F14" s="62">
        <x:v>404</x:v>
      </x:c>
      <x:c r="G14" s="62" t="s">
        <x:v>120</x:v>
      </x:c>
      <x:c r="H14" s="62" t="s">
        <x:v>152</x:v>
      </x:c>
    </x:row>
    <x:row r="15" ht="36" hidden="0" customHeight="1">
      <x:c r="A15" s="5" t="s">
        <x:v>153</x:v>
      </x:c>
      <x:c r="B15" s="62" t="s">
        <x:v>154</x:v>
      </x:c>
      <x:c r="C15" s="62" t="s">
        <x:v>155</x:v>
      </x:c>
      <x:c r="D15" s="62" t="s">
        <x:v>119</x:v>
      </x:c>
      <x:c r="E15" s="62" t="s">
        <x:v>156</x:v>
      </x:c>
      <x:c r="F15" s="62">
        <x:v>201</x:v>
      </x:c>
      <x:c r="G15" s="62" t="s">
        <x:v>120</x:v>
      </x:c>
      <x:c r="H15" s="62" t="s">
        <x:v>157</x:v>
      </x:c>
    </x:row>
    <x:row r="16" ht="14" hidden="0" customHeight="1">
      <x:c r="A16" s="5" t="s">
        <x:v>158</x:v>
      </x:c>
      <x:c r="B16" s="62" t="s">
        <x:v>159</x:v>
      </x:c>
      <x:c r="C16" s="62" t="s">
        <x:v>160</x:v>
      </x:c>
      <x:c r="D16" s="62" t="s">
        <x:v>148</x:v>
      </x:c>
      <x:c r="E16" s="62" t="s">
        <x:v>140</x:v>
      </x:c>
      <x:c r="F16" s="62">
        <x:v>200</x:v>
      </x:c>
      <x:c r="G16" s="62" t="s">
        <x:v>120</x:v>
      </x:c>
      <x:c r="H16" s="62" t="s">
        <x:v>161</x:v>
      </x:c>
    </x:row>
    <x:row r="17" ht="36" hidden="0" customHeight="1">
      <x:c r="A17" s="5" t="s">
        <x:v>162</x:v>
      </x:c>
      <x:c r="B17" s="62" t="s">
        <x:v>163</x:v>
      </x:c>
      <x:c r="C17" s="62" t="s">
        <x:v>164</x:v>
      </x:c>
      <x:c r="D17" s="62" t="s">
        <x:v>128</x:v>
      </x:c>
      <x:c r="E17" s="62" t="s">
        <x:v>156</x:v>
      </x:c>
      <x:c r="F17" s="62">
        <x:v>200</x:v>
      </x:c>
      <x:c r="G17" s="62" t="s">
        <x:v>120</x:v>
      </x:c>
      <x:c r="H17" s="62" t="s">
        <x:v>165</x:v>
      </x:c>
      <x:c r="J17" t="s">
        <x:v>166</x:v>
      </x:c>
    </x:row>
    <x:row r="18" ht="14" hidden="0" customHeight="1">
      <x:c r="A18" s="5" t="s">
        <x:v>167</x:v>
      </x:c>
      <x:c r="B18" s="62" t="s">
        <x:v>168</x:v>
      </x:c>
      <x:c r="C18" s="62" t="s">
        <x:v>169</x:v>
      </x:c>
      <x:c r="D18" s="62" t="s">
        <x:v>114</x:v>
      </x:c>
      <x:c r="E18" s="62" t="s">
        <x:v>170</x:v>
      </x:c>
      <x:c r="F18" s="62">
        <x:v>200</x:v>
      </x:c>
      <x:c r="G18" s="62" t="s">
        <x:v>115</x:v>
      </x:c>
      <x:c r="H18" s="62" t="s">
        <x:v>171</x:v>
      </x:c>
    </x:row>
  </x:sheetData>
  <x:mergeCells>
    <x:mergeCell ref="A1:H1"/>
    <x:mergeCell ref="A2:H2"/>
  </x:mergeCells>
  <x:pageMargins left="0.7" right="0.7" top="0.75" bottom="0.75" header="0.3" footer="0.3"/>
  <x:tableParts count="1">
    <x:tablePart xmlns:r="http://schemas.openxmlformats.org/officeDocument/2006/relationships" r:id="R9dc2c45f69ce4ab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41.25" hidden="0" customWidth="1"/>
    <x:col min="4" max="4" width="16.25" hidden="0" customWidth="1"/>
    <x:col min="5" max="5" width="9.380000114440918" hidden="0" customWidth="1"/>
    <x:col min="6" max="6" width="13.75" hidden="0" customWidth="1"/>
    <x:col min="7" max="7" width="15.630000114440918" hidden="0" customWidth="1"/>
    <x:col min="8" max="8" width="15.630000114440918" hidden="0" customWidth="1"/>
    <x:col min="9" max="9" width="13.130000114440918" hidden="0" customWidth="1"/>
    <x:col min="10" max="10" width="13.75" hidden="0" customWidth="1"/>
    <x:col min="11" max="11" width="15" hidden="0" customWidth="1"/>
    <x:col min="12" max="12" width="15.630000114440918" hidden="0" customWidth="1"/>
    <x:col min="13" max="13" width="11.25" hidden="0" customWidth="1"/>
    <x:col min="14" max="14" width="16.25" hidden="0" customWidth="1"/>
  </x:cols>
  <x:sheetData>
    <x:row r="1" ht="25.5" customHeight="1">
      <x:c r="A1" s="129" t="str">
        <x:v>AEQA Jira Traceability Snapshot</x:v>
      </x:c>
      <x:c r="B1" s="129"/>
      <x:c r="C1" s="129"/>
      <x:c r="D1" s="129"/>
      <x:c r="E1" s="129"/>
      <x:c r="F1" s="129"/>
      <x:c r="G1" s="129"/>
      <x:c r="H1" s="129"/>
      <x:c r="I1" s="129"/>
      <x:c r="J1" s="129"/>
      <x:c r="K1" s="129"/>
      <x:c r="L1" s="129"/>
      <x:c r="M1" s="129"/>
      <x:c r="N1" s="129"/>
    </x:row>
    <x:row r="2" ht="25.5" customHeight="1">
      <x:c r="A2" s="134" t="str">
        <x:v>Source: Jira Cloud AEQA reconciliation through 2026-08-17 | Workflow status, traceability links, and execution metadata remain independently reconciled</x:v>
      </x:c>
      <x:c r="B2" s="134"/>
      <x:c r="C2" s="134"/>
      <x:c r="D2" s="134"/>
      <x:c r="E2" s="134"/>
      <x:c r="F2" s="134"/>
      <x:c r="G2" s="134"/>
      <x:c r="H2" s="134"/>
      <x:c r="I2" s="134"/>
      <x:c r="J2" s="134"/>
      <x:c r="K2" s="134"/>
      <x:c r="L2" s="134"/>
      <x:c r="M2" s="134"/>
      <x:c r="N2" s="134"/>
    </x:row>
    <x:row r="4" ht="25.5" customHeight="1">
      <x:c r="A4" s="139" t="str">
        <x:v>Jira Key</x:v>
      </x:c>
      <x:c r="B4" s="139" t="str">
        <x:v>Work Type</x:v>
      </x:c>
      <x:c r="C4" s="139" t="str">
        <x:v>Summary</x:v>
      </x:c>
      <x:c r="D4" s="139" t="str">
        <x:v>Workflow Status</x:v>
      </x:c>
      <x:c r="E4" s="139" t="str">
        <x:v>Priority</x:v>
      </x:c>
      <x:c r="F4" s="139" t="str">
        <x:v>Assignee</x:v>
      </x:c>
      <x:c r="G4" s="139" t="str">
        <x:v>Requirement ID</x:v>
      </x:c>
      <x:c r="H4" s="139" t="str">
        <x:v>Test Case ID</x:v>
      </x:c>
      <x:c r="I4" s="139" t="str">
        <x:v>Defect ID</x:v>
      </x:c>
      <x:c r="J4" s="139" t="str">
        <x:v>Execution Status</x:v>
      </x:c>
      <x:c r="K4" s="139" t="str">
        <x:v>Automation Status</x:v>
      </x:c>
      <x:c r="L4" s="139" t="str">
        <x:v>Testing Link(s)</x:v>
      </x:c>
      <x:c r="M4" s="139" t="str">
        <x:v>Parent Key</x:v>
      </x:c>
      <x:c r="N4" s="139" t="str">
        <x:v>Jira Updated</x:v>
      </x:c>
    </x:row>
    <x:row r="5" ht="52.79999923706055" hidden="0" customHeight="1">
      <x:c r="A5" s="76" t="str">
        <x:v>AEQA-1</x:v>
      </x:c>
      <x:c r="B5" s="76" t="str">
        <x:v>Requirement</x:v>
      </x:c>
      <x:c r="C5" s="76" t="str">
        <x:v>REQ-AUTH-001 - Register User</x:v>
      </x:c>
      <x:c r="D5" s="76" t="str">
        <x:v>Done</x:v>
      </x:c>
      <x:c r="E5" s="76" t="str">
        <x:v>Highest</x:v>
      </x:c>
      <x:c r="F5" s="76" t="str">
        <x:v>Kevin Mcmahon</x:v>
      </x:c>
      <x:c r="G5" s="76" t="str">
        <x:v>REQ-AUTH-001</x:v>
      </x:c>
      <x:c r="H5" s="76" t="str"/>
      <x:c r="I5" s="76" t="str"/>
      <x:c r="J5" s="76" t="str">
        <x:v>Pass</x:v>
      </x:c>
      <x:c r="K5" s="76" t="str"/>
      <x:c r="L5" s="76" t="str">
        <x:v>AEQA-45
AEQA-46
AEQA-53
AEQA-106</x:v>
      </x:c>
      <x:c r="M5" s="76" t="str"/>
      <x:c r="N5" s="76" t="str">
        <x:v>2026-08-17 19:33 EDT</x:v>
      </x:c>
    </x:row>
    <x:row r="6" ht="26.399999618530273" hidden="0" customHeight="1">
      <x:c r="A6" s="76" t="str">
        <x:v>AEQA-2</x:v>
      </x:c>
      <x:c r="B6" s="76" t="str">
        <x:v>Requirement</x:v>
      </x:c>
      <x:c r="C6" s="76" t="str">
        <x:v>REQ-AUTH-002 - Login User with correct email and password</x:v>
      </x:c>
      <x:c r="D6" s="76" t="str">
        <x:v>Done</x:v>
      </x:c>
      <x:c r="E6" s="76" t="str">
        <x:v>Highest</x:v>
      </x:c>
      <x:c r="F6" s="76" t="str"/>
      <x:c r="G6" s="76" t="str">
        <x:v>REQ-AUTH-002</x:v>
      </x:c>
      <x:c r="H6" s="76" t="str"/>
      <x:c r="I6" s="76" t="str"/>
      <x:c r="J6" s="76" t="str"/>
      <x:c r="K6" s="76" t="str"/>
      <x:c r="L6" s="76" t="str">
        <x:v>AEQA-49
AEQA-53</x:v>
      </x:c>
      <x:c r="M6" s="76" t="str"/>
      <x:c r="N6" s="76" t="str">
        <x:v>10/Aug/26 8:02 PM</x:v>
      </x:c>
    </x:row>
    <x:row r="7" ht="26.399999618530273" hidden="0" customHeight="1">
      <x:c r="A7" s="76" t="str">
        <x:v>AEQA-3</x:v>
      </x:c>
      <x:c r="B7" s="76" t="str">
        <x:v>Requirement</x:v>
      </x:c>
      <x:c r="C7" s="76" t="str">
        <x:v>REQ-AUTH-003 - Login User with incorrect email and password</x:v>
      </x:c>
      <x:c r="D7" s="76" t="str">
        <x:v>Done</x:v>
      </x:c>
      <x:c r="E7" s="76" t="str">
        <x:v>High</x:v>
      </x:c>
      <x:c r="F7" s="76" t="str"/>
      <x:c r="G7" s="76" t="str">
        <x:v>REQ-AUTH-003</x:v>
      </x:c>
      <x:c r="H7" s="76" t="str"/>
      <x:c r="I7" s="76" t="str"/>
      <x:c r="J7" s="76" t="str"/>
      <x:c r="K7" s="76" t="str"/>
      <x:c r="L7" s="76" t="str">
        <x:v>AEQA-51
AEQA-56</x:v>
      </x:c>
      <x:c r="M7" s="76" t="str"/>
      <x:c r="N7" s="76" t="str">
        <x:v>10/Aug/26 8:02 PM</x:v>
      </x:c>
    </x:row>
    <x:row r="8" ht="26.399999618530273" hidden="0" customHeight="1">
      <x:c r="A8" s="76" t="str">
        <x:v>AEQA-4</x:v>
      </x:c>
      <x:c r="B8" s="76" t="str">
        <x:v>Requirement</x:v>
      </x:c>
      <x:c r="C8" s="76" t="str">
        <x:v>REQ-AUTH-004 - Logout User</x:v>
      </x:c>
      <x:c r="D8" s="76" t="str">
        <x:v>Selected for Development</x:v>
      </x:c>
      <x:c r="E8" s="76" t="str">
        <x:v>High</x:v>
      </x:c>
      <x:c r="F8" s="76" t="str"/>
      <x:c r="G8" s="76" t="str">
        <x:v>REQ-AUTH-004</x:v>
      </x:c>
      <x:c r="H8" s="76" t="str"/>
      <x:c r="I8" s="76" t="str"/>
      <x:c r="J8" s="76" t="str"/>
      <x:c r="K8" s="76" t="str"/>
      <x:c r="L8" s="76" t="str">
        <x:v>AEQA-52</x:v>
      </x:c>
      <x:c r="M8" s="76" t="str"/>
      <x:c r="N8" s="76" t="str">
        <x:v>11/Aug/26 7:35 AM</x:v>
      </x:c>
    </x:row>
    <x:row r="9" ht="15" hidden="0" customHeight="1">
      <x:c r="A9" s="76" t="str">
        <x:v>AEQA-5</x:v>
      </x:c>
      <x:c r="B9" s="76" t="str">
        <x:v>Requirement</x:v>
      </x:c>
      <x:c r="C9" s="76" t="str">
        <x:v>REQ-AUTH-005 - Register User with existing email</x:v>
      </x:c>
      <x:c r="D9" s="76" t="str">
        <x:v>Done</x:v>
      </x:c>
      <x:c r="E9" s="76" t="str">
        <x:v>High</x:v>
      </x:c>
      <x:c r="F9" s="76" t="str"/>
      <x:c r="G9" s="76" t="str">
        <x:v>REQ-AUTH-005</x:v>
      </x:c>
      <x:c r="H9" s="76" t="str"/>
      <x:c r="I9" s="76" t="str"/>
      <x:c r="J9" s="76" t="str"/>
      <x:c r="K9" s="76" t="str"/>
      <x:c r="L9" s="76" t="str">
        <x:v>AEQA-55</x:v>
      </x:c>
      <x:c r="M9" s="76" t="str"/>
      <x:c r="N9" s="76" t="str">
        <x:v>10/Aug/26 8:02 PM</x:v>
      </x:c>
    </x:row>
    <x:row r="10" ht="15" hidden="0" customHeight="1">
      <x:c r="A10" s="76" t="str">
        <x:v>AEQA-6</x:v>
      </x:c>
      <x:c r="B10" s="76" t="str">
        <x:v>Requirement</x:v>
      </x:c>
      <x:c r="C10" s="76" t="str">
        <x:v>REQ-CONTACT-001 - Contact Us Form</x:v>
      </x:c>
      <x:c r="D10" s="76" t="str">
        <x:v>Done</x:v>
      </x:c>
      <x:c r="E10" s="76" t="str">
        <x:v>Medium</x:v>
      </x:c>
      <x:c r="F10" s="76" t="str"/>
      <x:c r="G10" s="76" t="str">
        <x:v>REQ-CONTACT-001</x:v>
      </x:c>
      <x:c r="H10" s="76" t="str"/>
      <x:c r="I10" s="76" t="str"/>
      <x:c r="J10" s="76" t="str"/>
      <x:c r="K10" s="76" t="str"/>
      <x:c r="L10" s="76" t="str">
        <x:v>AEQA-62</x:v>
      </x:c>
      <x:c r="M10" s="76" t="str"/>
      <x:c r="N10" s="76" t="str">
        <x:v>10/Aug/26 8:02 PM</x:v>
      </x:c>
    </x:row>
    <x:row r="11" ht="15" hidden="0" customHeight="1">
      <x:c r="A11" s="76" t="str">
        <x:v>AEQA-7</x:v>
      </x:c>
      <x:c r="B11" s="76" t="str">
        <x:v>Requirement</x:v>
      </x:c>
      <x:c r="C11" s="76" t="str">
        <x:v>REQ-NAV-001 - Verify Test Cases Page</x:v>
      </x:c>
      <x:c r="D11" s="76" t="str">
        <x:v>Done</x:v>
      </x:c>
      <x:c r="E11" s="76" t="str">
        <x:v>Low</x:v>
      </x:c>
      <x:c r="F11" s="76" t="str"/>
      <x:c r="G11" s="76" t="str">
        <x:v>REQ-NAV-001</x:v>
      </x:c>
      <x:c r="H11" s="76" t="str"/>
      <x:c r="I11" s="76" t="str"/>
      <x:c r="J11" s="76" t="str"/>
      <x:c r="K11" s="76" t="str"/>
      <x:c r="L11" s="76" t="str">
        <x:v>AEQA-63</x:v>
      </x:c>
      <x:c r="M11" s="76" t="str"/>
      <x:c r="N11" s="76" t="str">
        <x:v>10/Aug/26 8:02 PM</x:v>
      </x:c>
    </x:row>
    <x:row r="12" ht="26.399999618530273" hidden="0" customHeight="1">
      <x:c r="A12" s="76" t="str">
        <x:v>AEQA-8</x:v>
      </x:c>
      <x:c r="B12" s="76" t="str">
        <x:v>Requirement</x:v>
      </x:c>
      <x:c r="C12" s="76" t="str">
        <x:v>REQ-PRODUCT-001 - Verify All Products and product detail page</x:v>
      </x:c>
      <x:c r="D12" s="76" t="str">
        <x:v>Done</x:v>
      </x:c>
      <x:c r="E12" s="76" t="str">
        <x:v>High</x:v>
      </x:c>
      <x:c r="F12" s="76" t="str"/>
      <x:c r="G12" s="76" t="str">
        <x:v>REQ-PRODUCT-001</x:v>
      </x:c>
      <x:c r="H12" s="76" t="str"/>
      <x:c r="I12" s="76" t="str"/>
      <x:c r="J12" s="76" t="str"/>
      <x:c r="K12" s="76" t="str"/>
      <x:c r="L12" s="76" t="str">
        <x:v>AEQA-57</x:v>
      </x:c>
      <x:c r="M12" s="76" t="str"/>
      <x:c r="N12" s="76" t="str">
        <x:v>10/Aug/26 8:02 PM</x:v>
      </x:c>
    </x:row>
    <x:row r="13" ht="15" hidden="0" customHeight="1">
      <x:c r="A13" s="76" t="str">
        <x:v>AEQA-9</x:v>
      </x:c>
      <x:c r="B13" s="76" t="str">
        <x:v>Requirement</x:v>
      </x:c>
      <x:c r="C13" s="76" t="str">
        <x:v>REQ-PRODUCT-002 - Search Product</x:v>
      </x:c>
      <x:c r="D13" s="76" t="str">
        <x:v>Done</x:v>
      </x:c>
      <x:c r="E13" s="76" t="str">
        <x:v>High</x:v>
      </x:c>
      <x:c r="F13" s="76" t="str"/>
      <x:c r="G13" s="76" t="str">
        <x:v>REQ-PRODUCT-002</x:v>
      </x:c>
      <x:c r="H13" s="76" t="str"/>
      <x:c r="I13" s="76" t="str"/>
      <x:c r="J13" s="76" t="str"/>
      <x:c r="K13" s="76" t="str"/>
      <x:c r="L13" s="76" t="str">
        <x:v>AEQA-58</x:v>
      </x:c>
      <x:c r="M13" s="76" t="str"/>
      <x:c r="N13" s="76" t="str">
        <x:v>10/Aug/26 8:02 PM</x:v>
      </x:c>
    </x:row>
    <x:row r="14" ht="15" hidden="0" customHeight="1">
      <x:c r="A14" s="76" t="str">
        <x:v>AEQA-10</x:v>
      </x:c>
      <x:c r="B14" s="76" t="str">
        <x:v>Requirement</x:v>
      </x:c>
      <x:c r="C14" s="76" t="str">
        <x:v>REQ-SUB-001 - Verify Subscription in home page</x:v>
      </x:c>
      <x:c r="D14" s="76" t="str">
        <x:v>Done</x:v>
      </x:c>
      <x:c r="E14" s="76" t="str">
        <x:v>Medium</x:v>
      </x:c>
      <x:c r="F14" s="76" t="str"/>
      <x:c r="G14" s="76" t="str">
        <x:v>REQ-SUB-001</x:v>
      </x:c>
      <x:c r="H14" s="76" t="str"/>
      <x:c r="I14" s="76" t="str"/>
      <x:c r="J14" s="76" t="str"/>
      <x:c r="K14" s="76" t="str"/>
      <x:c r="L14" s="76" t="str">
        <x:v>AEQA-64</x:v>
      </x:c>
      <x:c r="M14" s="76" t="str"/>
      <x:c r="N14" s="76" t="str">
        <x:v>10/Aug/26 8:02 PM</x:v>
      </x:c>
    </x:row>
    <x:row r="15" ht="15" hidden="0" customHeight="1">
      <x:c r="A15" s="76" t="str">
        <x:v>AEQA-11</x:v>
      </x:c>
      <x:c r="B15" s="76" t="str">
        <x:v>Requirement</x:v>
      </x:c>
      <x:c r="C15" s="76" t="str">
        <x:v>REQ-SUB-002 - Verify Subscription in Cart page</x:v>
      </x:c>
      <x:c r="D15" s="76" t="str">
        <x:v>Done</x:v>
      </x:c>
      <x:c r="E15" s="76" t="str">
        <x:v>Medium</x:v>
      </x:c>
      <x:c r="F15" s="76" t="str"/>
      <x:c r="G15" s="76" t="str">
        <x:v>REQ-SUB-002</x:v>
      </x:c>
      <x:c r="H15" s="76" t="str"/>
      <x:c r="I15" s="76" t="str"/>
      <x:c r="J15" s="76" t="str"/>
      <x:c r="K15" s="76" t="str"/>
      <x:c r="L15" s="76" t="str">
        <x:v>AEQA-65</x:v>
      </x:c>
      <x:c r="M15" s="76" t="str"/>
      <x:c r="N15" s="76" t="str">
        <x:v>10/Aug/26 8:02 PM</x:v>
      </x:c>
    </x:row>
    <x:row r="16" ht="26.399999618530273" hidden="0" customHeight="1">
      <x:c r="A16" s="76" t="str">
        <x:v>AEQA-12</x:v>
      </x:c>
      <x:c r="B16" s="76" t="str">
        <x:v>Requirement</x:v>
      </x:c>
      <x:c r="C16" s="76" t="str">
        <x:v>REQ-CART-001 - Add Products in Cart</x:v>
      </x:c>
      <x:c r="D16" s="76" t="str">
        <x:v>Selected for Development</x:v>
      </x:c>
      <x:c r="E16" s="76" t="str">
        <x:v>Highest</x:v>
      </x:c>
      <x:c r="F16" s="76" t="str"/>
      <x:c r="G16" s="76" t="str">
        <x:v>REQ-CART-001</x:v>
      </x:c>
      <x:c r="H16" s="76" t="str"/>
      <x:c r="I16" s="76" t="str"/>
      <x:c r="J16" s="76" t="str"/>
      <x:c r="K16" s="76" t="str"/>
      <x:c r="L16" s="76" t="str">
        <x:v>AEQA-59</x:v>
      </x:c>
      <x:c r="M16" s="76" t="str"/>
      <x:c r="N16" s="76" t="str">
        <x:v>10/Aug/26 8:26 PM</x:v>
      </x:c>
    </x:row>
    <x:row r="17" ht="15" hidden="0" customHeight="1">
      <x:c r="A17" s="76" t="str">
        <x:v>AEQA-13</x:v>
      </x:c>
      <x:c r="B17" s="76" t="str">
        <x:v>Requirement</x:v>
      </x:c>
      <x:c r="C17" s="76" t="str">
        <x:v>REQ-CART-002 - Verify Product quantity in Cart</x:v>
      </x:c>
      <x:c r="D17" s="76" t="str">
        <x:v>Done</x:v>
      </x:c>
      <x:c r="E17" s="76" t="str">
        <x:v>High</x:v>
      </x:c>
      <x:c r="F17" s="76" t="str"/>
      <x:c r="G17" s="76" t="str">
        <x:v>REQ-CART-002</x:v>
      </x:c>
      <x:c r="H17" s="76" t="str"/>
      <x:c r="I17" s="76" t="str"/>
      <x:c r="J17" s="76" t="str"/>
      <x:c r="K17" s="76" t="str"/>
      <x:c r="L17" s="76" t="str">
        <x:v>AEQA-60</x:v>
      </x:c>
      <x:c r="M17" s="76" t="str"/>
      <x:c r="N17" s="76" t="str">
        <x:v>10/Aug/26 8:02 PM</x:v>
      </x:c>
    </x:row>
    <x:row r="18" ht="26.399999618530273" hidden="0" customHeight="1">
      <x:c r="A18" s="76" t="str">
        <x:v>AEQA-14</x:v>
      </x:c>
      <x:c r="B18" s="76" t="str">
        <x:v>Requirement</x:v>
      </x:c>
      <x:c r="C18" s="76" t="str">
        <x:v>REQ-ORDER-001 - Place Order: Register while Checkout</x:v>
      </x:c>
      <x:c r="D18" s="76" t="str">
        <x:v>Done</x:v>
      </x:c>
      <x:c r="E18" s="76" t="str">
        <x:v>Highest</x:v>
      </x:c>
      <x:c r="F18" s="76" t="str">
        <x:v>Kevin Mcmahon</x:v>
      </x:c>
      <x:c r="G18" s="76" t="str">
        <x:v>REQ-ORDER-001</x:v>
      </x:c>
      <x:c r="H18" s="76" t="str"/>
      <x:c r="I18" s="76" t="str"/>
      <x:c r="J18" s="76" t="str"/>
      <x:c r="K18" s="76" t="str"/>
      <x:c r="L18" s="76" t="str">
        <x:v>AEQA-107</x:v>
      </x:c>
      <x:c r="M18" s="76" t="str"/>
      <x:c r="N18" s="76" t="str">
        <x:v>16/Aug/26 12:36 AM</x:v>
      </x:c>
    </x:row>
    <x:row r="19" ht="26.399999618530273" hidden="0" customHeight="1">
      <x:c r="A19" s="76" t="str">
        <x:v>AEQA-15</x:v>
      </x:c>
      <x:c r="B19" s="76" t="str">
        <x:v>Requirement</x:v>
      </x:c>
      <x:c r="C19" s="76" t="str">
        <x:v>REQ-ORDER-002 - Place Order: Register before Checkout</x:v>
      </x:c>
      <x:c r="D19" s="76" t="str">
        <x:v>Done</x:v>
      </x:c>
      <x:c r="E19" s="76" t="str">
        <x:v>Highest</x:v>
      </x:c>
      <x:c r="F19" s="76" t="str">
        <x:v>Kevin Mcmahon</x:v>
      </x:c>
      <x:c r="G19" s="76" t="str">
        <x:v>REQ-ORDER-002</x:v>
      </x:c>
      <x:c r="H19" s="76" t="str"/>
      <x:c r="I19" s="76" t="str"/>
      <x:c r="J19" s="76" t="str">
        <x:v>Pass</x:v>
      </x:c>
      <x:c r="K19" s="76" t="str"/>
      <x:c r="L19" s="76" t="str">
        <x:v>AEQA-108</x:v>
      </x:c>
      <x:c r="M19" s="76" t="str"/>
      <x:c r="N19" s="76" t="str">
        <x:v>2026-08-12 21:22 EDT</x:v>
      </x:c>
    </x:row>
    <x:row r="20" ht="26.399999618530273" hidden="0" customHeight="1">
      <x:c r="A20" s="76" t="str">
        <x:v>AEQA-16</x:v>
      </x:c>
      <x:c r="B20" s="76" t="str">
        <x:v>Requirement</x:v>
      </x:c>
      <x:c r="C20" s="76" t="str">
        <x:v>REQ-ORDER-003 - Place Order: Login before Checkout</x:v>
      </x:c>
      <x:c r="D20" s="76" t="str">
        <x:v>Done</x:v>
      </x:c>
      <x:c r="E20" s="76" t="str">
        <x:v>Highest</x:v>
      </x:c>
      <x:c r="F20" s="76" t="str">
        <x:v>Kevin Mcmahon</x:v>
      </x:c>
      <x:c r="G20" s="76" t="str">
        <x:v>REQ-ORDER-003</x:v>
      </x:c>
      <x:c r="H20" s="76" t="str"/>
      <x:c r="I20" s="76" t="str"/>
      <x:c r="J20" s="76" t="str">
        <x:v>Pass</x:v>
      </x:c>
      <x:c r="K20" s="76" t="str"/>
      <x:c r="L20" s="76" t="str">
        <x:v>AEQA-109</x:v>
      </x:c>
      <x:c r="M20" s="76" t="str"/>
      <x:c r="N20" s="76" t="str">
        <x:v>2026-08-12 22:10 EDT</x:v>
      </x:c>
    </x:row>
    <x:row r="21" ht="15" hidden="0" customHeight="1">
      <x:c r="A21" s="76" t="str">
        <x:v>AEQA-17</x:v>
      </x:c>
      <x:c r="B21" s="76" t="str">
        <x:v>Requirement</x:v>
      </x:c>
      <x:c r="C21" s="76" t="str">
        <x:v>REQ-CART-003 - Remove Products From Cart</x:v>
      </x:c>
      <x:c r="D21" s="76" t="str">
        <x:v>Done</x:v>
      </x:c>
      <x:c r="E21" s="76" t="str">
        <x:v>High</x:v>
      </x:c>
      <x:c r="F21" s="76" t="str"/>
      <x:c r="G21" s="76" t="str">
        <x:v>REQ-CART-003</x:v>
      </x:c>
      <x:c r="H21" s="76" t="str"/>
      <x:c r="I21" s="76" t="str"/>
      <x:c r="J21" s="76" t="str"/>
      <x:c r="K21" s="76" t="str"/>
      <x:c r="L21" s="76" t="str">
        <x:v>AEQA-61</x:v>
      </x:c>
      <x:c r="M21" s="76" t="str"/>
      <x:c r="N21" s="76" t="str">
        <x:v>10/Aug/26 8:02 PM</x:v>
      </x:c>
    </x:row>
    <x:row r="22" ht="15" hidden="0" customHeight="1">
      <x:c r="A22" s="76" t="str">
        <x:v>AEQA-18</x:v>
      </x:c>
      <x:c r="B22" s="76" t="str">
        <x:v>Requirement</x:v>
      </x:c>
      <x:c r="C22" s="76" t="str">
        <x:v>REQ-CATALOG-001 - View Category Products</x:v>
      </x:c>
      <x:c r="D22" s="76" t="str">
        <x:v>Done</x:v>
      </x:c>
      <x:c r="E22" s="76" t="str">
        <x:v>Medium</x:v>
      </x:c>
      <x:c r="F22" s="76" t="str">
        <x:v>Kevin Mcmahon</x:v>
      </x:c>
      <x:c r="G22" s="76" t="str">
        <x:v>REQ-CATALOG-001</x:v>
      </x:c>
      <x:c r="H22" s="76" t="str"/>
      <x:c r="I22" s="76" t="str"/>
      <x:c r="J22" s="76" t="str"/>
      <x:c r="K22" s="76" t="str"/>
      <x:c r="L22" s="76" t="str">
        <x:v>AEQA-110</x:v>
      </x:c>
      <x:c r="M22" s="76" t="str"/>
      <x:c r="N22" s="76" t="str">
        <x:v>16/Aug/26 12:41 AM</x:v>
      </x:c>
    </x:row>
    <x:row r="23" ht="26.399999618530273" hidden="0" customHeight="1">
      <x:c r="A23" s="76" t="str">
        <x:v>AEQA-19</x:v>
      </x:c>
      <x:c r="B23" s="76" t="str">
        <x:v>Requirement</x:v>
      </x:c>
      <x:c r="C23" s="76" t="str">
        <x:v>REQ-CATALOG-002 - View &amp; Cart Brand Products</x:v>
      </x:c>
      <x:c r="D23" s="76" t="str">
        <x:v>Backlog</x:v>
      </x:c>
      <x:c r="E23" s="76" t="str">
        <x:v>Medium</x:v>
      </x:c>
      <x:c r="F23" s="76" t="str">
        <x:v>Kevin Mcmahon</x:v>
      </x:c>
      <x:c r="G23" s="76" t="str">
        <x:v>REQ-CATALOG-002</x:v>
      </x:c>
      <x:c r="H23" s="76" t="str"/>
      <x:c r="I23" s="76" t="str"/>
      <x:c r="J23" s="76" t="str"/>
      <x:c r="K23" s="76" t="str"/>
      <x:c r="L23" s="76" t="str">
        <x:v>AEQA-111</x:v>
      </x:c>
      <x:c r="M23" s="76" t="str"/>
      <x:c r="N23" s="76" t="str">
        <x:v>2026-08-17 15:14 EDT</x:v>
      </x:c>
    </x:row>
    <x:row r="24" ht="26.399999618530273" hidden="0" customHeight="1">
      <x:c r="A24" s="76" t="str">
        <x:v>AEQA-20</x:v>
      </x:c>
      <x:c r="B24" s="76" t="str">
        <x:v>Requirement</x:v>
      </x:c>
      <x:c r="C24" s="76" t="str">
        <x:v>REQ-CART-004 - Search Products and Verify Cart After Login</x:v>
      </x:c>
      <x:c r="D24" s="76" t="str">
        <x:v>Done</x:v>
      </x:c>
      <x:c r="E24" s="76" t="str">
        <x:v>High</x:v>
      </x:c>
      <x:c r="F24" s="76" t="str">
        <x:v>Kevin Mcmahon</x:v>
      </x:c>
      <x:c r="G24" s="76" t="str">
        <x:v>REQ-CART-004</x:v>
      </x:c>
      <x:c r="H24" s="76" t="str"/>
      <x:c r="I24" s="76" t="str"/>
      <x:c r="J24" s="76" t="str">
        <x:v>Pass</x:v>
      </x:c>
      <x:c r="K24" s="76" t="str"/>
      <x:c r="L24" s="76" t="str">
        <x:v>AEQA-112</x:v>
      </x:c>
      <x:c r="M24" s="76" t="str"/>
      <x:c r="N24" s="76" t="str">
        <x:v>2026-08-17 19:22 EDT</x:v>
      </x:c>
    </x:row>
    <x:row r="25" ht="26.399999618530273" hidden="0" customHeight="1">
      <x:c r="A25" s="76" t="str">
        <x:v>AEQA-21</x:v>
      </x:c>
      <x:c r="B25" s="76" t="str">
        <x:v>Requirement</x:v>
      </x:c>
      <x:c r="C25" s="76" t="str">
        <x:v>REQ-REVIEW-001 - Add review on product</x:v>
      </x:c>
      <x:c r="D25" s="76" t="str">
        <x:v>Done</x:v>
      </x:c>
      <x:c r="E25" s="76" t="str">
        <x:v>Medium</x:v>
      </x:c>
      <x:c r="F25" s="76" t="str">
        <x:v>Kevin Mcmahon</x:v>
      </x:c>
      <x:c r="G25" s="76" t="str">
        <x:v>REQ-REVIEW-001</x:v>
      </x:c>
      <x:c r="H25" s="76" t="str"/>
      <x:c r="I25" s="76" t="str"/>
      <x:c r="J25" s="76" t="str">
        <x:v>Pass</x:v>
      </x:c>
      <x:c r="K25" s="76" t="str"/>
      <x:c r="L25" s="76" t="str">
        <x:v>AEQA-113
AEQA-124</x:v>
      </x:c>
      <x:c r="M25" s="76" t="str"/>
      <x:c r="N25" s="76" t="str">
        <x:v>2026-08-17 19:11 EDT</x:v>
      </x:c>
    </x:row>
    <x:row r="26" ht="26.399999618530273" hidden="0" customHeight="1">
      <x:c r="A26" s="76" t="str">
        <x:v>AEQA-22</x:v>
      </x:c>
      <x:c r="B26" s="76" t="str">
        <x:v>Requirement</x:v>
      </x:c>
      <x:c r="C26" s="76" t="str">
        <x:v>REQ-CART-005 - Add to cart from Recommended items</x:v>
      </x:c>
      <x:c r="D26" s="76" t="str">
        <x:v>Done</x:v>
      </x:c>
      <x:c r="E26" s="76" t="str">
        <x:v>Medium</x:v>
      </x:c>
      <x:c r="F26" s="76" t="str">
        <x:v>Kevin Mcmahon</x:v>
      </x:c>
      <x:c r="G26" s="76" t="str">
        <x:v>REQ-CART-005</x:v>
      </x:c>
      <x:c r="H26" s="76" t="str"/>
      <x:c r="I26" s="76" t="str"/>
      <x:c r="J26" s="76" t="str">
        <x:v>Pass</x:v>
      </x:c>
      <x:c r="K26" s="76" t="str"/>
      <x:c r="L26" s="76" t="str">
        <x:v>AEQA-114
AEQA-125</x:v>
      </x:c>
      <x:c r="M26" s="76" t="str"/>
      <x:c r="N26" s="76" t="str">
        <x:v>2026-08-17</x:v>
      </x:c>
    </x:row>
    <x:row r="27" ht="26.399999618530273" hidden="0" customHeight="1">
      <x:c r="A27" s="76" t="str">
        <x:v>AEQA-23</x:v>
      </x:c>
      <x:c r="B27" s="76" t="str">
        <x:v>Requirement</x:v>
      </x:c>
      <x:c r="C27" s="76" t="str">
        <x:v>REQ-ORDER-004 - Verify address details in checkout page</x:v>
      </x:c>
      <x:c r="D27" s="76" t="str">
        <x:v>Done</x:v>
      </x:c>
      <x:c r="E27" s="76" t="str">
        <x:v>High</x:v>
      </x:c>
      <x:c r="F27" s="76" t="str">
        <x:v>Kevin Mcmahon</x:v>
      </x:c>
      <x:c r="G27" s="76" t="str">
        <x:v>REQ-ORDER-004</x:v>
      </x:c>
      <x:c r="H27" s="76" t="str"/>
      <x:c r="I27" s="76" t="str"/>
      <x:c r="J27" s="76" t="str"/>
      <x:c r="K27" s="76" t="str"/>
      <x:c r="L27" s="76" t="str">
        <x:v>AEQA-115</x:v>
      </x:c>
      <x:c r="M27" s="76" t="str"/>
      <x:c r="N27" s="76" t="str">
        <x:v>15/Aug/26 11:27 PM</x:v>
      </x:c>
    </x:row>
    <x:row r="28" ht="26.399999618530273" hidden="0" customHeight="1">
      <x:c r="A28" s="76" t="str">
        <x:v>AEQA-24</x:v>
      </x:c>
      <x:c r="B28" s="76" t="str">
        <x:v>Requirement</x:v>
      </x:c>
      <x:c r="C28" s="76" t="str">
        <x:v>REQ-ORDER-005 - Download Invoice after purchase order</x:v>
      </x:c>
      <x:c r="D28" s="76" t="str">
        <x:v>Done</x:v>
      </x:c>
      <x:c r="E28" s="76" t="str">
        <x:v>High</x:v>
      </x:c>
      <x:c r="F28" s="76" t="str">
        <x:v>Kevin Mcmahon</x:v>
      </x:c>
      <x:c r="G28" s="76" t="str">
        <x:v>REQ-ORDER-005</x:v>
      </x:c>
      <x:c r="H28" s="76" t="str"/>
      <x:c r="I28" s="76" t="str"/>
      <x:c r="J28" s="76" t="str">
        <x:v>Pass</x:v>
      </x:c>
      <x:c r="K28" s="76" t="str"/>
      <x:c r="L28" s="76" t="str">
        <x:v>AEQA-116
AEQA-126</x:v>
      </x:c>
      <x:c r="M28" s="76" t="str"/>
      <x:c r="N28" s="76" t="str">
        <x:v>2026-08-17</x:v>
      </x:c>
    </x:row>
    <x:row r="29" ht="26.399999618530273" hidden="0" customHeight="1">
      <x:c r="A29" s="76" t="str">
        <x:v>AEQA-25</x:v>
      </x:c>
      <x:c r="B29" s="76" t="str">
        <x:v>Requirement</x:v>
      </x:c>
      <x:c r="C29" s="76" t="str">
        <x:v>REQ-NAV-002 - Verify Scroll Up using 'Arrow' button and Scroll Down functionality</x:v>
      </x:c>
      <x:c r="D29" s="76" t="str">
        <x:v>Done</x:v>
      </x:c>
      <x:c r="E29" s="76" t="str">
        <x:v>Low</x:v>
      </x:c>
      <x:c r="F29" s="76" t="str">
        <x:v>Kevin Mcmahon</x:v>
      </x:c>
      <x:c r="G29" s="76" t="str">
        <x:v>REQ-NAV-002</x:v>
      </x:c>
      <x:c r="H29" s="76" t="str"/>
      <x:c r="I29" s="76" t="str"/>
      <x:c r="J29" s="76" t="str">
        <x:v>Pass</x:v>
      </x:c>
      <x:c r="K29" s="76" t="str"/>
      <x:c r="L29" s="76" t="str">
        <x:v>AEQA-117
AEQA-127</x:v>
      </x:c>
      <x:c r="M29" s="76" t="str"/>
      <x:c r="N29" s="76" t="str">
        <x:v>2026-08-17</x:v>
      </x:c>
    </x:row>
    <x:row r="30" ht="26.399999618530273" hidden="0" customHeight="1">
      <x:c r="A30" s="76" t="str">
        <x:v>AEQA-26</x:v>
      </x:c>
      <x:c r="B30" s="76" t="str">
        <x:v>Requirement</x:v>
      </x:c>
      <x:c r="C30" s="76" t="str">
        <x:v>REQ-NAV-003 - Verify Scroll Up without 'Arrow' button and Scroll Down functionality</x:v>
      </x:c>
      <x:c r="D30" s="76" t="str">
        <x:v>In Progress</x:v>
      </x:c>
      <x:c r="E30" s="76" t="str">
        <x:v>Low</x:v>
      </x:c>
      <x:c r="F30" s="76" t="str">
        <x:v>Kevin Mcmahon</x:v>
      </x:c>
      <x:c r="G30" s="76" t="str">
        <x:v>REQ-NAV-003</x:v>
      </x:c>
      <x:c r="H30" s="76" t="str"/>
      <x:c r="I30" s="76" t="str"/>
      <x:c r="J30" s="76" t="str">
        <x:v>Pass</x:v>
      </x:c>
      <x:c r="K30" s="76" t="str"/>
      <x:c r="L30" s="76" t="str">
        <x:v>AEQA-118
AEQA-128</x:v>
      </x:c>
      <x:c r="M30" s="76" t="str"/>
      <x:c r="N30" s="76" t="str">
        <x:v>2026-08-17</x:v>
      </x:c>
    </x:row>
    <x:row r="31" ht="26.399999618530273" hidden="0" customHeight="1">
      <x:c r="A31" s="76" t="str">
        <x:v>AEQA-27</x:v>
      </x:c>
      <x:c r="B31" s="76" t="str">
        <x:v>Requirement</x:v>
      </x:c>
      <x:c r="C31" s="76" t="str">
        <x:v>REQ-EXT-001 - Reject invalid email format during registration</x:v>
      </x:c>
      <x:c r="D31" s="76" t="str">
        <x:v>Done</x:v>
      </x:c>
      <x:c r="E31" s="76" t="str">
        <x:v>High</x:v>
      </x:c>
      <x:c r="F31" s="76" t="str"/>
      <x:c r="G31" s="76" t="str">
        <x:v>REQ-EXT-001</x:v>
      </x:c>
      <x:c r="H31" s="76" t="str"/>
      <x:c r="I31" s="76" t="str"/>
      <x:c r="J31" s="76" t="str"/>
      <x:c r="K31" s="76" t="str"/>
      <x:c r="L31" s="76" t="str">
        <x:v>AEQA-47</x:v>
      </x:c>
      <x:c r="M31" s="76" t="str"/>
      <x:c r="N31" s="76" t="str">
        <x:v>10/Aug/26 8:02 PM</x:v>
      </x:c>
    </x:row>
    <x:row r="32" ht="26.399999618530273" hidden="0" customHeight="1">
      <x:c r="A32" s="76" t="str">
        <x:v>AEQA-28</x:v>
      </x:c>
      <x:c r="B32" s="76" t="str">
        <x:v>Requirement</x:v>
      </x:c>
      <x:c r="C32" s="76" t="str">
        <x:v>REQ-EXT-002 - Prevent account creation when required fields are blank</x:v>
      </x:c>
      <x:c r="D32" s="76" t="str">
        <x:v>Done</x:v>
      </x:c>
      <x:c r="E32" s="76" t="str">
        <x:v>High</x:v>
      </x:c>
      <x:c r="F32" s="76" t="str"/>
      <x:c r="G32" s="76" t="str">
        <x:v>REQ-EXT-002</x:v>
      </x:c>
      <x:c r="H32" s="76" t="str"/>
      <x:c r="I32" s="76" t="str"/>
      <x:c r="J32" s="76" t="str"/>
      <x:c r="K32" s="76" t="str"/>
      <x:c r="L32" s="76" t="str">
        <x:v>AEQA-48</x:v>
      </x:c>
      <x:c r="M32" s="76" t="str"/>
      <x:c r="N32" s="76" t="str">
        <x:v>10/Aug/26 8:02 PM</x:v>
      </x:c>
    </x:row>
    <x:row r="33" ht="26.399999618530273" hidden="0" customHeight="1">
      <x:c r="A33" s="76" t="str">
        <x:v>AEQA-29</x:v>
      </x:c>
      <x:c r="B33" s="76" t="str">
        <x:v>Requirement</x:v>
      </x:c>
      <x:c r="C33" s="76" t="str">
        <x:v>REQ-EXT-003 - Reject SQL injection input without authenticating the user</x:v>
      </x:c>
      <x:c r="D33" s="76" t="str">
        <x:v>Done</x:v>
      </x:c>
      <x:c r="E33" s="76" t="str">
        <x:v>High</x:v>
      </x:c>
      <x:c r="F33" s="76" t="str"/>
      <x:c r="G33" s="76" t="str">
        <x:v>REQ-EXT-003</x:v>
      </x:c>
      <x:c r="H33" s="76" t="str"/>
      <x:c r="I33" s="76" t="str"/>
      <x:c r="J33" s="76" t="str"/>
      <x:c r="K33" s="76" t="str"/>
      <x:c r="L33" s="76" t="str">
        <x:v>AEQA-50</x:v>
      </x:c>
      <x:c r="M33" s="76" t="str"/>
      <x:c r="N33" s="76" t="str">
        <x:v>10/Aug/26 8:02 PM</x:v>
      </x:c>
    </x:row>
    <x:row r="34" ht="26.399999618530273" hidden="0" customHeight="1">
      <x:c r="A34" s="76" t="str">
        <x:v>AEQA-30</x:v>
      </x:c>
      <x:c r="B34" s="76" t="str">
        <x:v>Requirement</x:v>
      </x:c>
      <x:c r="C34" s="76" t="str">
        <x:v>REQ-EXT-004 - Preserve an active account across logout and a new browser tab</x:v>
      </x:c>
      <x:c r="D34" s="76" t="str">
        <x:v>Done</x:v>
      </x:c>
      <x:c r="E34" s="76" t="str">
        <x:v>High</x:v>
      </x:c>
      <x:c r="F34" s="76" t="str"/>
      <x:c r="G34" s="76" t="str">
        <x:v>REQ-EXT-004</x:v>
      </x:c>
      <x:c r="H34" s="76" t="str"/>
      <x:c r="I34" s="76" t="str"/>
      <x:c r="J34" s="76" t="str"/>
      <x:c r="K34" s="76" t="str"/>
      <x:c r="L34" s="76" t="str">
        <x:v>AEQA-54</x:v>
      </x:c>
      <x:c r="M34" s="76" t="str"/>
      <x:c r="N34" s="76" t="str">
        <x:v>10/Aug/26 8:02 PM</x:v>
      </x:c>
    </x:row>
    <x:row r="35" ht="15" hidden="0" customHeight="1">
      <x:c r="A35" s="76" t="str">
        <x:v>AEQA-31</x:v>
      </x:c>
      <x:c r="B35" s="76" t="str">
        <x:v>Requirement</x:v>
      </x:c>
      <x:c r="C35" s="76" t="str">
        <x:v>REQ-API-001 - Get All Products List</x:v>
      </x:c>
      <x:c r="D35" s="76" t="str">
        <x:v>Done</x:v>
      </x:c>
      <x:c r="E35" s="76" t="str">
        <x:v>High</x:v>
      </x:c>
      <x:c r="F35" s="76" t="str"/>
      <x:c r="G35" s="76" t="str">
        <x:v>REQ-API-001</x:v>
      </x:c>
      <x:c r="H35" s="76" t="str"/>
      <x:c r="I35" s="76" t="str"/>
      <x:c r="J35" s="76" t="str"/>
      <x:c r="K35" s="76" t="str"/>
      <x:c r="L35" s="76" t="str">
        <x:v>AEQA-66</x:v>
      </x:c>
      <x:c r="M35" s="76" t="str"/>
      <x:c r="N35" s="76" t="str">
        <x:v>10/Aug/26 8:02 PM</x:v>
      </x:c>
    </x:row>
    <x:row r="36" ht="15" hidden="0" customHeight="1">
      <x:c r="A36" s="76" t="str">
        <x:v>AEQA-32</x:v>
      </x:c>
      <x:c r="B36" s="76" t="str">
        <x:v>Requirement</x:v>
      </x:c>
      <x:c r="C36" s="76" t="str">
        <x:v>REQ-API-002 - POST To All Products List</x:v>
      </x:c>
      <x:c r="D36" s="76" t="str">
        <x:v>Done</x:v>
      </x:c>
      <x:c r="E36" s="76" t="str">
        <x:v>Medium</x:v>
      </x:c>
      <x:c r="F36" s="76" t="str"/>
      <x:c r="G36" s="76" t="str">
        <x:v>REQ-API-002</x:v>
      </x:c>
      <x:c r="H36" s="76" t="str"/>
      <x:c r="I36" s="76" t="str"/>
      <x:c r="J36" s="76" t="str"/>
      <x:c r="K36" s="76" t="str"/>
      <x:c r="L36" s="76" t="str">
        <x:v>AEQA-67</x:v>
      </x:c>
      <x:c r="M36" s="76" t="str"/>
      <x:c r="N36" s="76" t="str">
        <x:v>10/Aug/26 8:02 PM</x:v>
      </x:c>
    </x:row>
    <x:row r="37" ht="15" hidden="0" customHeight="1">
      <x:c r="A37" s="76" t="str">
        <x:v>AEQA-33</x:v>
      </x:c>
      <x:c r="B37" s="76" t="str">
        <x:v>Requirement</x:v>
      </x:c>
      <x:c r="C37" s="76" t="str">
        <x:v>REQ-API-003 - Get All Brands List</x:v>
      </x:c>
      <x:c r="D37" s="76" t="str">
        <x:v>Done</x:v>
      </x:c>
      <x:c r="E37" s="76" t="str">
        <x:v>High</x:v>
      </x:c>
      <x:c r="F37" s="76" t="str"/>
      <x:c r="G37" s="76" t="str">
        <x:v>REQ-API-003</x:v>
      </x:c>
      <x:c r="H37" s="76" t="str"/>
      <x:c r="I37" s="76" t="str"/>
      <x:c r="J37" s="76" t="str"/>
      <x:c r="K37" s="76" t="str"/>
      <x:c r="L37" s="76" t="str">
        <x:v>AEQA-68</x:v>
      </x:c>
      <x:c r="M37" s="76" t="str"/>
      <x:c r="N37" s="76" t="str">
        <x:v>10/Aug/26 8:02 PM</x:v>
      </x:c>
    </x:row>
    <x:row r="38" ht="15" hidden="0" customHeight="1">
      <x:c r="A38" s="76" t="str">
        <x:v>AEQA-34</x:v>
      </x:c>
      <x:c r="B38" s="76" t="str">
        <x:v>Requirement</x:v>
      </x:c>
      <x:c r="C38" s="76" t="str">
        <x:v>REQ-API-004 - PUT To All Brands List</x:v>
      </x:c>
      <x:c r="D38" s="76" t="str">
        <x:v>Done</x:v>
      </x:c>
      <x:c r="E38" s="76" t="str">
        <x:v>Medium</x:v>
      </x:c>
      <x:c r="F38" s="76" t="str"/>
      <x:c r="G38" s="76" t="str">
        <x:v>REQ-API-004</x:v>
      </x:c>
      <x:c r="H38" s="76" t="str"/>
      <x:c r="I38" s="76" t="str"/>
      <x:c r="J38" s="76" t="str"/>
      <x:c r="K38" s="76" t="str"/>
      <x:c r="L38" s="76" t="str">
        <x:v>AEQA-69</x:v>
      </x:c>
      <x:c r="M38" s="76" t="str"/>
      <x:c r="N38" s="76" t="str">
        <x:v>10/Aug/26 8:02 PM</x:v>
      </x:c>
    </x:row>
    <x:row r="39" ht="15" hidden="0" customHeight="1">
      <x:c r="A39" s="76" t="str">
        <x:v>AEQA-35</x:v>
      </x:c>
      <x:c r="B39" s="76" t="str">
        <x:v>Requirement</x:v>
      </x:c>
      <x:c r="C39" s="76" t="str">
        <x:v>REQ-API-005 - POST To Search Product</x:v>
      </x:c>
      <x:c r="D39" s="76" t="str">
        <x:v>Done</x:v>
      </x:c>
      <x:c r="E39" s="76" t="str">
        <x:v>High</x:v>
      </x:c>
      <x:c r="F39" s="76" t="str"/>
      <x:c r="G39" s="76" t="str">
        <x:v>REQ-API-005</x:v>
      </x:c>
      <x:c r="H39" s="76" t="str"/>
      <x:c r="I39" s="76" t="str"/>
      <x:c r="J39" s="76" t="str"/>
      <x:c r="K39" s="76" t="str"/>
      <x:c r="L39" s="76" t="str">
        <x:v>AEQA-70</x:v>
      </x:c>
      <x:c r="M39" s="76" t="str"/>
      <x:c r="N39" s="76" t="str">
        <x:v>10/Aug/26 8:02 PM</x:v>
      </x:c>
    </x:row>
    <x:row r="40" ht="39.599998474121094" hidden="0" customHeight="1">
      <x:c r="A40" s="76" t="str">
        <x:v>AEQA-36</x:v>
      </x:c>
      <x:c r="B40" s="76" t="str">
        <x:v>Requirement</x:v>
      </x:c>
      <x:c r="C40" s="76" t="str">
        <x:v>REQ-API-006 - POST To Search Product without search_product 
parameter</x:v>
      </x:c>
      <x:c r="D40" s="76" t="str">
        <x:v>Done</x:v>
      </x:c>
      <x:c r="E40" s="76" t="str">
        <x:v>High</x:v>
      </x:c>
      <x:c r="F40" s="76" t="str"/>
      <x:c r="G40" s="76" t="str">
        <x:v>REQ-API-006</x:v>
      </x:c>
      <x:c r="H40" s="76" t="str"/>
      <x:c r="I40" s="76" t="str"/>
      <x:c r="J40" s="76" t="str"/>
      <x:c r="K40" s="76" t="str"/>
      <x:c r="L40" s="76" t="str">
        <x:v>AEQA-71</x:v>
      </x:c>
      <x:c r="M40" s="76" t="str"/>
      <x:c r="N40" s="76" t="str">
        <x:v>10/Aug/26 8:02 PM</x:v>
      </x:c>
    </x:row>
    <x:row r="41" ht="15" hidden="0" customHeight="1">
      <x:c r="A41" s="76" t="str">
        <x:v>AEQA-37</x:v>
      </x:c>
      <x:c r="B41" s="76" t="str">
        <x:v>Requirement</x:v>
      </x:c>
      <x:c r="C41" s="76" t="str">
        <x:v>REQ-API-007 - POST To Verify Login with valid details</x:v>
      </x:c>
      <x:c r="D41" s="76" t="str">
        <x:v>Done</x:v>
      </x:c>
      <x:c r="E41" s="76" t="str">
        <x:v>Highest</x:v>
      </x:c>
      <x:c r="F41" s="76" t="str"/>
      <x:c r="G41" s="76" t="str">
        <x:v>REQ-API-007</x:v>
      </x:c>
      <x:c r="H41" s="76" t="str"/>
      <x:c r="I41" s="76" t="str"/>
      <x:c r="J41" s="76" t="str"/>
      <x:c r="K41" s="76" t="str"/>
      <x:c r="L41" s="76" t="str">
        <x:v>AEQA-72</x:v>
      </x:c>
      <x:c r="M41" s="76" t="str"/>
      <x:c r="N41" s="76" t="str">
        <x:v>10/Aug/26 8:02 PM</x:v>
      </x:c>
    </x:row>
    <x:row r="42" ht="26.399999618530273" hidden="0" customHeight="1">
      <x:c r="A42" s="76" t="str">
        <x:v>AEQA-38</x:v>
      </x:c>
      <x:c r="B42" s="76" t="str">
        <x:v>Requirement</x:v>
      </x:c>
      <x:c r="C42" s="76" t="str">
        <x:v>REQ-API-008 - POST To Verify Login without email parameter</x:v>
      </x:c>
      <x:c r="D42" s="76" t="str">
        <x:v>Done</x:v>
      </x:c>
      <x:c r="E42" s="76" t="str">
        <x:v>High</x:v>
      </x:c>
      <x:c r="F42" s="76" t="str"/>
      <x:c r="G42" s="76" t="str">
        <x:v>REQ-API-008</x:v>
      </x:c>
      <x:c r="H42" s="76" t="str"/>
      <x:c r="I42" s="76" t="str"/>
      <x:c r="J42" s="76" t="str"/>
      <x:c r="K42" s="76" t="str"/>
      <x:c r="L42" s="76" t="str">
        <x:v>AEQA-73</x:v>
      </x:c>
      <x:c r="M42" s="76" t="str"/>
      <x:c r="N42" s="76" t="str">
        <x:v>10/Aug/26 8:02 PM</x:v>
      </x:c>
    </x:row>
    <x:row r="43" ht="15" hidden="0" customHeight="1">
      <x:c r="A43" s="76" t="str">
        <x:v>AEQA-39</x:v>
      </x:c>
      <x:c r="B43" s="76" t="str">
        <x:v>Requirement</x:v>
      </x:c>
      <x:c r="C43" s="76" t="str">
        <x:v>REQ-API-009 - DELETE To Verify Login</x:v>
      </x:c>
      <x:c r="D43" s="76" t="str">
        <x:v>Done</x:v>
      </x:c>
      <x:c r="E43" s="76" t="str">
        <x:v>Medium</x:v>
      </x:c>
      <x:c r="F43" s="76" t="str"/>
      <x:c r="G43" s="76" t="str">
        <x:v>REQ-API-009</x:v>
      </x:c>
      <x:c r="H43" s="76" t="str"/>
      <x:c r="I43" s="76" t="str"/>
      <x:c r="J43" s="76" t="str"/>
      <x:c r="K43" s="76" t="str"/>
      <x:c r="L43" s="76" t="str">
        <x:v>AEQA-74</x:v>
      </x:c>
      <x:c r="M43" s="76" t="str"/>
      <x:c r="N43" s="76" t="str">
        <x:v>10/Aug/26 8:02 PM</x:v>
      </x:c>
    </x:row>
    <x:row r="44" ht="15" hidden="0" customHeight="1">
      <x:c r="A44" s="76" t="str">
        <x:v>AEQA-40</x:v>
      </x:c>
      <x:c r="B44" s="76" t="str">
        <x:v>Requirement</x:v>
      </x:c>
      <x:c r="C44" s="76" t="str">
        <x:v>REQ-API-010 - POST To Verify Login with invalid details</x:v>
      </x:c>
      <x:c r="D44" s="76" t="str">
        <x:v>Done</x:v>
      </x:c>
      <x:c r="E44" s="76" t="str">
        <x:v>High</x:v>
      </x:c>
      <x:c r="F44" s="76" t="str"/>
      <x:c r="G44" s="76" t="str">
        <x:v>REQ-API-010</x:v>
      </x:c>
      <x:c r="H44" s="76" t="str"/>
      <x:c r="I44" s="76" t="str"/>
      <x:c r="J44" s="76" t="str"/>
      <x:c r="K44" s="76" t="str"/>
      <x:c r="L44" s="76" t="str">
        <x:v>AEQA-75</x:v>
      </x:c>
      <x:c r="M44" s="76" t="str"/>
      <x:c r="N44" s="76" t="str">
        <x:v>10/Aug/26 8:02 PM</x:v>
      </x:c>
    </x:row>
    <x:row r="45" ht="15" hidden="0" customHeight="1">
      <x:c r="A45" s="76" t="str">
        <x:v>AEQA-41</x:v>
      </x:c>
      <x:c r="B45" s="76" t="str">
        <x:v>Requirement</x:v>
      </x:c>
      <x:c r="C45" s="76" t="str">
        <x:v>REQ-API-011 - POST To Create/Register User Account</x:v>
      </x:c>
      <x:c r="D45" s="76" t="str">
        <x:v>Done</x:v>
      </x:c>
      <x:c r="E45" s="76" t="str">
        <x:v>Highest</x:v>
      </x:c>
      <x:c r="F45" s="76" t="str"/>
      <x:c r="G45" s="76" t="str">
        <x:v>REQ-API-011</x:v>
      </x:c>
      <x:c r="H45" s="76" t="str"/>
      <x:c r="I45" s="76" t="str"/>
      <x:c r="J45" s="76" t="str"/>
      <x:c r="K45" s="76" t="str"/>
      <x:c r="L45" s="76" t="str">
        <x:v>AEQA-76</x:v>
      </x:c>
      <x:c r="M45" s="76" t="str"/>
      <x:c r="N45" s="76" t="str">
        <x:v>10/Aug/26 8:02 PM</x:v>
      </x:c>
    </x:row>
    <x:row r="46" ht="26.399999618530273" hidden="0" customHeight="1">
      <x:c r="A46" s="76" t="str">
        <x:v>AEQA-42</x:v>
      </x:c>
      <x:c r="B46" s="76" t="str">
        <x:v>Requirement</x:v>
      </x:c>
      <x:c r="C46" s="76" t="str">
        <x:v>REQ-API-012 - DELETE METHOD To Delete User Account</x:v>
      </x:c>
      <x:c r="D46" s="76" t="str">
        <x:v>Done</x:v>
      </x:c>
      <x:c r="E46" s="76" t="str">
        <x:v>Highest</x:v>
      </x:c>
      <x:c r="F46" s="76" t="str"/>
      <x:c r="G46" s="76" t="str">
        <x:v>REQ-API-012</x:v>
      </x:c>
      <x:c r="H46" s="76" t="str"/>
      <x:c r="I46" s="76" t="str"/>
      <x:c r="J46" s="76" t="str"/>
      <x:c r="K46" s="76" t="str"/>
      <x:c r="L46" s="76" t="str">
        <x:v>AEQA-77</x:v>
      </x:c>
      <x:c r="M46" s="76" t="str"/>
      <x:c r="N46" s="76" t="str">
        <x:v>10/Aug/26 8:02 PM</x:v>
      </x:c>
    </x:row>
    <x:row r="47" ht="15" hidden="0" customHeight="1">
      <x:c r="A47" s="76" t="str">
        <x:v>AEQA-43</x:v>
      </x:c>
      <x:c r="B47" s="76" t="str">
        <x:v>Requirement</x:v>
      </x:c>
      <x:c r="C47" s="76" t="str">
        <x:v>REQ-API-013 - PUT METHOD To Update User Account</x:v>
      </x:c>
      <x:c r="D47" s="76" t="str">
        <x:v>Done</x:v>
      </x:c>
      <x:c r="E47" s="76" t="str">
        <x:v>High</x:v>
      </x:c>
      <x:c r="F47" s="76" t="str"/>
      <x:c r="G47" s="76" t="str">
        <x:v>REQ-API-013</x:v>
      </x:c>
      <x:c r="H47" s="76" t="str"/>
      <x:c r="I47" s="76" t="str"/>
      <x:c r="J47" s="76" t="str"/>
      <x:c r="K47" s="76" t="str"/>
      <x:c r="L47" s="76" t="str">
        <x:v>AEQA-78</x:v>
      </x:c>
      <x:c r="M47" s="76" t="str"/>
      <x:c r="N47" s="76" t="str">
        <x:v>10/Aug/26 8:02 PM</x:v>
      </x:c>
    </x:row>
    <x:row r="48" ht="15" hidden="0" customHeight="1">
      <x:c r="A48" s="76" t="str">
        <x:v>AEQA-44</x:v>
      </x:c>
      <x:c r="B48" s="76" t="str">
        <x:v>Requirement</x:v>
      </x:c>
      <x:c r="C48" s="76" t="str">
        <x:v>REQ-API-014 - GET user account detail by email</x:v>
      </x:c>
      <x:c r="D48" s="76" t="str">
        <x:v>Done</x:v>
      </x:c>
      <x:c r="E48" s="76" t="str">
        <x:v>High</x:v>
      </x:c>
      <x:c r="F48" s="76" t="str"/>
      <x:c r="G48" s="76" t="str">
        <x:v>REQ-API-014</x:v>
      </x:c>
      <x:c r="H48" s="76" t="str"/>
      <x:c r="I48" s="76" t="str"/>
      <x:c r="J48" s="76" t="str"/>
      <x:c r="K48" s="76" t="str"/>
      <x:c r="L48" s="76" t="str">
        <x:v>AEQA-79</x:v>
      </x:c>
      <x:c r="M48" s="76" t="str"/>
      <x:c r="N48" s="76" t="str">
        <x:v>10/Aug/26 8:02 PM</x:v>
      </x:c>
    </x:row>
    <x:row r="49" ht="39.599998474121094" hidden="0" customHeight="1">
      <x:c r="A49" s="76" t="str">
        <x:v>AEQA-45</x:v>
      </x:c>
      <x:c r="B49" s="76" t="str">
        <x:v>Test Case</x:v>
      </x:c>
      <x:c r="C49" s="76" t="str">
        <x:v>AE-SIGNUP-001 - Verify a new user can begin registration using a valid name and unregistered email address</x:v>
      </x:c>
      <x:c r="D49" s="76" t="str">
        <x:v>Done</x:v>
      </x:c>
      <x:c r="E49" s="76" t="str">
        <x:v>High</x:v>
      </x:c>
      <x:c r="F49" s="76" t="str">
        <x:v>Kevin Mcmahon</x:v>
      </x:c>
      <x:c r="G49" s="76" t="str"/>
      <x:c r="H49" s="76" t="str">
        <x:v>AE-SIGNUP-001</x:v>
      </x:c>
      <x:c r="I49" s="76" t="str"/>
      <x:c r="J49" s="76" t="str">
        <x:v>Pass</x:v>
      </x:c>
      <x:c r="K49" s="76" t="str">
        <x:v>Manual</x:v>
      </x:c>
      <x:c r="L49" s="76" t="str">
        <x:v>AEQA-1</x:v>
      </x:c>
      <x:c r="M49" s="76" t="str"/>
      <x:c r="N49" s="76" t="str">
        <x:v>10/Aug/26 7:58 PM</x:v>
      </x:c>
    </x:row>
    <x:row r="50" ht="26.399999618530273" hidden="0" customHeight="1">
      <x:c r="A50" s="76" t="str">
        <x:v>AEQA-46</x:v>
      </x:c>
      <x:c r="B50" s="76" t="str">
        <x:v>Test Case</x:v>
      </x:c>
      <x:c r="C50" s="76" t="str">
        <x:v>AE-SIGNUP-002 - Verify a new user can create an account using valid required information</x:v>
      </x:c>
      <x:c r="D50" s="76" t="str">
        <x:v>Done</x:v>
      </x:c>
      <x:c r="E50" s="76" t="str">
        <x:v>Highest</x:v>
      </x:c>
      <x:c r="F50" s="76" t="str">
        <x:v>Kevin Mcmahon</x:v>
      </x:c>
      <x:c r="G50" s="76" t="str"/>
      <x:c r="H50" s="76" t="str">
        <x:v>AE-SIGNUP-002</x:v>
      </x:c>
      <x:c r="I50" s="76" t="str"/>
      <x:c r="J50" s="76" t="str">
        <x:v>Pass</x:v>
      </x:c>
      <x:c r="K50" s="76" t="str">
        <x:v>Manual</x:v>
      </x:c>
      <x:c r="L50" s="76" t="str">
        <x:v>AEQA-1</x:v>
      </x:c>
      <x:c r="M50" s="76" t="str"/>
      <x:c r="N50" s="76" t="str">
        <x:v>10/Aug/26 7:58 PM</x:v>
      </x:c>
    </x:row>
    <x:row r="51" ht="26.399999618530273" hidden="0" customHeight="1">
      <x:c r="A51" s="76" t="str">
        <x:v>AEQA-47</x:v>
      </x:c>
      <x:c r="B51" s="76" t="str">
        <x:v>Test Case</x:v>
      </x:c>
      <x:c r="C51" s="76" t="str">
        <x:v>AE-SIGNUP-003 - Verify that registration is prevented when a user enters invalid email address</x:v>
      </x:c>
      <x:c r="D51" s="76" t="str">
        <x:v>Done</x:v>
      </x:c>
      <x:c r="E51" s="76" t="str">
        <x:v>High</x:v>
      </x:c>
      <x:c r="F51" s="76" t="str">
        <x:v>Kevin Mcmahon</x:v>
      </x:c>
      <x:c r="G51" s="76" t="str"/>
      <x:c r="H51" s="76" t="str">
        <x:v>AE-SIGNUP-003</x:v>
      </x:c>
      <x:c r="I51" s="76" t="str"/>
      <x:c r="J51" s="76" t="str">
        <x:v>Pass</x:v>
      </x:c>
      <x:c r="K51" s="76" t="str">
        <x:v>Manual</x:v>
      </x:c>
      <x:c r="L51" s="76" t="str">
        <x:v>AEQA-27</x:v>
      </x:c>
      <x:c r="M51" s="76" t="str"/>
      <x:c r="N51" s="76" t="str">
        <x:v>10/Aug/26 7:58 PM</x:v>
      </x:c>
    </x:row>
    <x:row r="52" ht="26.399999618530273" hidden="0" customHeight="1">
      <x:c r="A52" s="76" t="str">
        <x:v>AEQA-48</x:v>
      </x:c>
      <x:c r="B52" s="76" t="str">
        <x:v>Test Case</x:v>
      </x:c>
      <x:c r="C52" s="76" t="str">
        <x:v>AE-SIGNUP-004 - Verify that account creation is prevented when required fields are left blank</x:v>
      </x:c>
      <x:c r="D52" s="76" t="str">
        <x:v>Done</x:v>
      </x:c>
      <x:c r="E52" s="76" t="str">
        <x:v>High</x:v>
      </x:c>
      <x:c r="F52" s="76" t="str">
        <x:v>Kevin Mcmahon</x:v>
      </x:c>
      <x:c r="G52" s="76" t="str"/>
      <x:c r="H52" s="76" t="str">
        <x:v>AE-SIGNUP-004</x:v>
      </x:c>
      <x:c r="I52" s="76" t="str"/>
      <x:c r="J52" s="76" t="str">
        <x:v>Pass</x:v>
      </x:c>
      <x:c r="K52" s="76" t="str">
        <x:v>Manual</x:v>
      </x:c>
      <x:c r="L52" s="76" t="str">
        <x:v>AEQA-28</x:v>
      </x:c>
      <x:c r="M52" s="76" t="str"/>
      <x:c r="N52" s="76" t="str">
        <x:v>10/Aug/26 7:58 PM</x:v>
      </x:c>
    </x:row>
    <x:row r="53" ht="26.399999618530273" hidden="0" customHeight="1">
      <x:c r="A53" s="76" t="str">
        <x:v>AEQA-49</x:v>
      </x:c>
      <x:c r="B53" s="76" t="str">
        <x:v>Test Case</x:v>
      </x:c>
      <x:c r="C53" s="76" t="str">
        <x:v>AE-LOGIN-001 - Verify that a registered user can login using valid credentials</x:v>
      </x:c>
      <x:c r="D53" s="76" t="str">
        <x:v>Done</x:v>
      </x:c>
      <x:c r="E53" s="76" t="str">
        <x:v>Highest</x:v>
      </x:c>
      <x:c r="F53" s="76" t="str">
        <x:v>Kevin Mcmahon</x:v>
      </x:c>
      <x:c r="G53" s="76" t="str"/>
      <x:c r="H53" s="76" t="str">
        <x:v>AE-LOGIN-001</x:v>
      </x:c>
      <x:c r="I53" s="76" t="str"/>
      <x:c r="J53" s="76" t="str">
        <x:v>Pass</x:v>
      </x:c>
      <x:c r="K53" s="76" t="str">
        <x:v>Manual</x:v>
      </x:c>
      <x:c r="L53" s="76" t="str">
        <x:v>AEQA-2</x:v>
      </x:c>
      <x:c r="M53" s="76" t="str"/>
      <x:c r="N53" s="76" t="str">
        <x:v>10/Aug/26 7:59 PM</x:v>
      </x:c>
    </x:row>
    <x:row r="54" ht="26.399999618530273" hidden="0" customHeight="1">
      <x:c r="A54" s="76" t="str">
        <x:v>AEQA-50</x:v>
      </x:c>
      <x:c r="B54" s="76" t="str">
        <x:v>Test Case</x:v>
      </x:c>
      <x:c r="C54" s="76" t="str">
        <x:v>AE-LOGIN-002 - Verify that the login form rejects SQL injection input without authenticating the user</x:v>
      </x:c>
      <x:c r="D54" s="76" t="str">
        <x:v>Done</x:v>
      </x:c>
      <x:c r="E54" s="76" t="str">
        <x:v>High</x:v>
      </x:c>
      <x:c r="F54" s="76" t="str">
        <x:v>Kevin Mcmahon</x:v>
      </x:c>
      <x:c r="G54" s="76" t="str"/>
      <x:c r="H54" s="76" t="str">
        <x:v>AE-LOGIN-002</x:v>
      </x:c>
      <x:c r="I54" s="76" t="str"/>
      <x:c r="J54" s="76" t="str">
        <x:v>Pass</x:v>
      </x:c>
      <x:c r="K54" s="76" t="str">
        <x:v>Manual</x:v>
      </x:c>
      <x:c r="L54" s="76" t="str">
        <x:v>AEQA-29</x:v>
      </x:c>
      <x:c r="M54" s="76" t="str"/>
      <x:c r="N54" s="76" t="str">
        <x:v>10/Aug/26 7:59 PM</x:v>
      </x:c>
    </x:row>
    <x:row r="55" ht="39.599998474121094" hidden="0" customHeight="1">
      <x:c r="A55" s="76" t="str">
        <x:v>AEQA-51</x:v>
      </x:c>
      <x:c r="B55" s="76" t="str">
        <x:v>Test Case</x:v>
      </x:c>
      <x:c r="C55" s="76" t="str">
        <x:v>AE-LOGIN-003 - Verify that login is rejected when a registered email address is entered with an incorrect password</x:v>
      </x:c>
      <x:c r="D55" s="76" t="str">
        <x:v>Done</x:v>
      </x:c>
      <x:c r="E55" s="76" t="str">
        <x:v>High</x:v>
      </x:c>
      <x:c r="F55" s="76" t="str">
        <x:v>Kevin Mcmahon</x:v>
      </x:c>
      <x:c r="G55" s="76" t="str"/>
      <x:c r="H55" s="76" t="str">
        <x:v>AE-LOGIN-003</x:v>
      </x:c>
      <x:c r="I55" s="76" t="str"/>
      <x:c r="J55" s="76" t="str">
        <x:v>Pass</x:v>
      </x:c>
      <x:c r="K55" s="76" t="str">
        <x:v>Manual</x:v>
      </x:c>
      <x:c r="L55" s="76" t="str">
        <x:v>AEQA-3</x:v>
      </x:c>
      <x:c r="M55" s="76" t="str"/>
      <x:c r="N55" s="76" t="str">
        <x:v>10/Aug/26 7:59 PM</x:v>
      </x:c>
    </x:row>
    <x:row r="56" ht="26.399999618530273" hidden="0" customHeight="1">
      <x:c r="A56" s="76" t="str">
        <x:v>AEQA-52</x:v>
      </x:c>
      <x:c r="B56" s="76" t="str">
        <x:v>Test Case</x:v>
      </x:c>
      <x:c r="C56" s="76" t="str">
        <x:v>AE-LOGOUT-001 - Verify that an authenticated user can successfully logout</x:v>
      </x:c>
      <x:c r="D56" s="76" t="str">
        <x:v>Backlog</x:v>
      </x:c>
      <x:c r="E56" s="76" t="str">
        <x:v>High</x:v>
      </x:c>
      <x:c r="F56" s="76" t="str">
        <x:v>Kevin Mcmahon</x:v>
      </x:c>
      <x:c r="G56" s="76" t="str"/>
      <x:c r="H56" s="76" t="str">
        <x:v>AE-LOGOUT-001</x:v>
      </x:c>
      <x:c r="I56" s="76" t="str"/>
      <x:c r="J56" s="76" t="str">
        <x:v>Fail</x:v>
      </x:c>
      <x:c r="K56" s="76" t="str">
        <x:v>Manual</x:v>
      </x:c>
      <x:c r="L56" s="76" t="str">
        <x:v>AEQA-4</x:v>
      </x:c>
      <x:c r="M56" s="76" t="str"/>
      <x:c r="N56" s="76" t="str">
        <x:v>10/Aug/26 7:59 PM</x:v>
      </x:c>
    </x:row>
    <x:row r="57" ht="26.399999618530273" hidden="0" customHeight="1">
      <x:c r="A57" s="76" t="str">
        <x:v>AEQA-53</x:v>
      </x:c>
      <x:c r="B57" s="76" t="str">
        <x:v>Test Case</x:v>
      </x:c>
      <x:c r="C57" s="76" t="str">
        <x:v>AE-ACCOUNT-001 - Verify that an authenticated user can permanently delete their account</x:v>
      </x:c>
      <x:c r="D57" s="76" t="str">
        <x:v>Done</x:v>
      </x:c>
      <x:c r="E57" s="76" t="str">
        <x:v>Highest</x:v>
      </x:c>
      <x:c r="F57" s="76" t="str">
        <x:v>Kevin Mcmahon</x:v>
      </x:c>
      <x:c r="G57" s="76" t="str"/>
      <x:c r="H57" s="76" t="str">
        <x:v>AE-ACCOUNT-001</x:v>
      </x:c>
      <x:c r="I57" s="76" t="str"/>
      <x:c r="J57" s="76" t="str">
        <x:v>Pass</x:v>
      </x:c>
      <x:c r="K57" s="76" t="str">
        <x:v>Manual</x:v>
      </x:c>
      <x:c r="L57" s="76" t="str">
        <x:v>AEQA-1
AEQA-2</x:v>
      </x:c>
      <x:c r="M57" s="76" t="str"/>
      <x:c r="N57" s="76" t="str">
        <x:v>10/Aug/26 7:59 PM</x:v>
      </x:c>
    </x:row>
    <x:row r="58" ht="26.399999618530273" hidden="0" customHeight="1">
      <x:c r="A58" s="76" t="str">
        <x:v>AEQA-54</x:v>
      </x:c>
      <x:c r="B58" s="76" t="str">
        <x:v>Test Case</x:v>
      </x:c>
      <x:c r="C58" s="76" t="str">
        <x:v>AE-ACCOUNT-002 - Verify that a registered account remains active and accessible after the user logs out</x:v>
      </x:c>
      <x:c r="D58" s="76" t="str">
        <x:v>Done</x:v>
      </x:c>
      <x:c r="E58" s="76" t="str">
        <x:v>High</x:v>
      </x:c>
      <x:c r="F58" s="76" t="str">
        <x:v>Kevin Mcmahon</x:v>
      </x:c>
      <x:c r="G58" s="76" t="str"/>
      <x:c r="H58" s="76" t="str">
        <x:v>AE-ACCOUNT-002</x:v>
      </x:c>
      <x:c r="I58" s="76" t="str"/>
      <x:c r="J58" s="76" t="str">
        <x:v>Pass</x:v>
      </x:c>
      <x:c r="K58" s="76" t="str">
        <x:v>Manual</x:v>
      </x:c>
      <x:c r="L58" s="76" t="str">
        <x:v>AEQA-30</x:v>
      </x:c>
      <x:c r="M58" s="76" t="str"/>
      <x:c r="N58" s="76" t="str">
        <x:v>10/Aug/26 7:59 PM</x:v>
      </x:c>
    </x:row>
    <x:row r="59" ht="26.399999618530273" hidden="0" customHeight="1">
      <x:c r="A59" s="76" t="str">
        <x:v>AEQA-55</x:v>
      </x:c>
      <x:c r="B59" s="76" t="str">
        <x:v>Test Case</x:v>
      </x:c>
      <x:c r="C59" s="76" t="str">
        <x:v>AE-SIGNUP-005 - Verify that registration is rejected when an existing email address is used</x:v>
      </x:c>
      <x:c r="D59" s="76" t="str">
        <x:v>Done</x:v>
      </x:c>
      <x:c r="E59" s="76" t="str">
        <x:v>High</x:v>
      </x:c>
      <x:c r="F59" s="76" t="str">
        <x:v>Kevin Mcmahon</x:v>
      </x:c>
      <x:c r="G59" s="76" t="str"/>
      <x:c r="H59" s="76" t="str">
        <x:v>AE-SIGNUP-005</x:v>
      </x:c>
      <x:c r="I59" s="76" t="str"/>
      <x:c r="J59" s="76" t="str">
        <x:v>Pass</x:v>
      </x:c>
      <x:c r="K59" s="76" t="str">
        <x:v>Manual</x:v>
      </x:c>
      <x:c r="L59" s="76" t="str">
        <x:v>AEQA-5</x:v>
      </x:c>
      <x:c r="M59" s="76" t="str"/>
      <x:c r="N59" s="76" t="str">
        <x:v>10/Aug/26 7:59 PM</x:v>
      </x:c>
    </x:row>
    <x:row r="60" ht="26.399999618530273" hidden="0" customHeight="1">
      <x:c r="A60" s="76" t="str">
        <x:v>AEQA-56</x:v>
      </x:c>
      <x:c r="B60" s="76" t="str">
        <x:v>Test Case</x:v>
      </x:c>
      <x:c r="C60" s="76" t="str">
        <x:v>AE-LOGIN-004 - Verify that login is rejected when an unregistered email address is entered</x:v>
      </x:c>
      <x:c r="D60" s="76" t="str">
        <x:v>Done</x:v>
      </x:c>
      <x:c r="E60" s="76" t="str">
        <x:v>High</x:v>
      </x:c>
      <x:c r="F60" s="76" t="str">
        <x:v>Kevin Mcmahon</x:v>
      </x:c>
      <x:c r="G60" s="76" t="str"/>
      <x:c r="H60" s="76" t="str">
        <x:v>AE-LOGIN-004</x:v>
      </x:c>
      <x:c r="I60" s="76" t="str"/>
      <x:c r="J60" s="76" t="str">
        <x:v>Pass</x:v>
      </x:c>
      <x:c r="K60" s="76" t="str">
        <x:v>Manual</x:v>
      </x:c>
      <x:c r="L60" s="76" t="str">
        <x:v>AEQA-3</x:v>
      </x:c>
      <x:c r="M60" s="76" t="str"/>
      <x:c r="N60" s="76" t="str">
        <x:v>10/Aug/26 7:59 PM</x:v>
      </x:c>
    </x:row>
    <x:row r="61" ht="26.399999618530273" hidden="0" customHeight="1">
      <x:c r="A61" s="76" t="str">
        <x:v>AEQA-57</x:v>
      </x:c>
      <x:c r="B61" s="76" t="str">
        <x:v>Test Case</x:v>
      </x:c>
      <x:c r="C61" s="76" t="str">
        <x:v>AE-PRODUCT-001 - Verify that the All Products page and product details display correctly</x:v>
      </x:c>
      <x:c r="D61" s="76" t="str">
        <x:v>Done</x:v>
      </x:c>
      <x:c r="E61" s="76" t="str">
        <x:v>High</x:v>
      </x:c>
      <x:c r="F61" s="76" t="str">
        <x:v>Kevin Mcmahon</x:v>
      </x:c>
      <x:c r="G61" s="76" t="str"/>
      <x:c r="H61" s="76" t="str">
        <x:v>AE-PRODUCT-001</x:v>
      </x:c>
      <x:c r="I61" s="76" t="str"/>
      <x:c r="J61" s="76" t="str">
        <x:v>Pass</x:v>
      </x:c>
      <x:c r="K61" s="76" t="str">
        <x:v>Manual</x:v>
      </x:c>
      <x:c r="L61" s="76" t="str">
        <x:v>AEQA-8</x:v>
      </x:c>
      <x:c r="M61" s="76" t="str"/>
      <x:c r="N61" s="76" t="str">
        <x:v>10/Aug/26 7:59 PM</x:v>
      </x:c>
    </x:row>
    <x:row r="62" ht="26.399999618530273" hidden="0" customHeight="1">
      <x:c r="A62" s="76" t="str">
        <x:v>AEQA-58</x:v>
      </x:c>
      <x:c r="B62" s="76" t="str">
        <x:v>Test Case</x:v>
      </x:c>
      <x:c r="C62" s="76" t="str">
        <x:v>AE-PRODUCT-002 - Verify that product search returns relevant products</x:v>
      </x:c>
      <x:c r="D62" s="76" t="str">
        <x:v>Done</x:v>
      </x:c>
      <x:c r="E62" s="76" t="str">
        <x:v>High</x:v>
      </x:c>
      <x:c r="F62" s="76" t="str">
        <x:v>Kevin Mcmahon</x:v>
      </x:c>
      <x:c r="G62" s="76" t="str"/>
      <x:c r="H62" s="76" t="str">
        <x:v>AE-PRODUCT-002</x:v>
      </x:c>
      <x:c r="I62" s="76" t="str"/>
      <x:c r="J62" s="76" t="str">
        <x:v>Pass</x:v>
      </x:c>
      <x:c r="K62" s="76" t="str">
        <x:v>Manual</x:v>
      </x:c>
      <x:c r="L62" s="76" t="str">
        <x:v>AEQA-9</x:v>
      </x:c>
      <x:c r="M62" s="76" t="str"/>
      <x:c r="N62" s="76" t="str">
        <x:v>10/Aug/26 7:59 PM</x:v>
      </x:c>
    </x:row>
    <x:row r="63" ht="26.399999618530273" hidden="0" customHeight="1">
      <x:c r="A63" s="76" t="str">
        <x:v>AEQA-59</x:v>
      </x:c>
      <x:c r="B63" s="76" t="str">
        <x:v>Test Case</x:v>
      </x:c>
      <x:c r="C63" s="76" t="str">
        <x:v>AE-CART-001 - Verify that two products can be added to the cart with correct prices, quantities, and totals</x:v>
      </x:c>
      <x:c r="D63" s="76" t="str">
        <x:v>Selected for Development</x:v>
      </x:c>
      <x:c r="E63" s="76" t="str">
        <x:v>Highest</x:v>
      </x:c>
      <x:c r="F63" s="76" t="str">
        <x:v>Kevin Mcmahon</x:v>
      </x:c>
      <x:c r="G63" s="76" t="str"/>
      <x:c r="H63" s="76" t="str">
        <x:v>AE-CART-001</x:v>
      </x:c>
      <x:c r="I63" s="76" t="str"/>
      <x:c r="J63" s="76" t="str">
        <x:v>Fail</x:v>
      </x:c>
      <x:c r="K63" s="76" t="str">
        <x:v>Manual</x:v>
      </x:c>
      <x:c r="L63" s="76" t="str">
        <x:v>AEQA-12</x:v>
      </x:c>
      <x:c r="M63" s="76" t="str"/>
      <x:c r="N63" s="76" t="str">
        <x:v>10/Aug/26 8:34 PM</x:v>
      </x:c>
    </x:row>
    <x:row r="64" ht="26.399999618530273" hidden="0" customHeight="1">
      <x:c r="A64" s="76" t="str">
        <x:v>AEQA-60</x:v>
      </x:c>
      <x:c r="B64" s="76" t="str">
        <x:v>Test Case</x:v>
      </x:c>
      <x:c r="C64" s="76" t="str">
        <x:v>AE-CART-002 - Verify that a product is displayed in the cart with the selected quantity</x:v>
      </x:c>
      <x:c r="D64" s="76" t="str">
        <x:v>Done</x:v>
      </x:c>
      <x:c r="E64" s="76" t="str">
        <x:v>High</x:v>
      </x:c>
      <x:c r="F64" s="76" t="str">
        <x:v>Kevin Mcmahon</x:v>
      </x:c>
      <x:c r="G64" s="76" t="str"/>
      <x:c r="H64" s="76" t="str">
        <x:v>AE-CART-002</x:v>
      </x:c>
      <x:c r="I64" s="76" t="str"/>
      <x:c r="J64" s="76" t="str">
        <x:v>Pass</x:v>
      </x:c>
      <x:c r="K64" s="76" t="str">
        <x:v>Manual</x:v>
      </x:c>
      <x:c r="L64" s="76" t="str">
        <x:v>AEQA-13</x:v>
      </x:c>
      <x:c r="M64" s="76" t="str"/>
      <x:c r="N64" s="76" t="str">
        <x:v>10/Aug/26 7:59 PM</x:v>
      </x:c>
    </x:row>
    <x:row r="65" ht="26.399999618530273" hidden="0" customHeight="1">
      <x:c r="A65" s="76" t="str">
        <x:v>AEQA-61</x:v>
      </x:c>
      <x:c r="B65" s="76" t="str">
        <x:v>Test Case</x:v>
      </x:c>
      <x:c r="C65" s="76" t="str">
        <x:v>AE-CART-003 - Verify that a product can be removed from the cart</x:v>
      </x:c>
      <x:c r="D65" s="76" t="str">
        <x:v>Done</x:v>
      </x:c>
      <x:c r="E65" s="76" t="str">
        <x:v>High</x:v>
      </x:c>
      <x:c r="F65" s="76" t="str">
        <x:v>Kevin Mcmahon</x:v>
      </x:c>
      <x:c r="G65" s="76" t="str"/>
      <x:c r="H65" s="76" t="str">
        <x:v>AE-CART-003</x:v>
      </x:c>
      <x:c r="I65" s="76" t="str"/>
      <x:c r="J65" s="76" t="str">
        <x:v>Pass</x:v>
      </x:c>
      <x:c r="K65" s="76" t="str">
        <x:v>Manual</x:v>
      </x:c>
      <x:c r="L65" s="76" t="str">
        <x:v>AEQA-17</x:v>
      </x:c>
      <x:c r="M65" s="76" t="str"/>
      <x:c r="N65" s="76" t="str">
        <x:v>10/Aug/26 7:59 PM</x:v>
      </x:c>
    </x:row>
    <x:row r="66" ht="39.599998474121094" hidden="0" customHeight="1">
      <x:c r="A66" s="76" t="str">
        <x:v>AEQA-62</x:v>
      </x:c>
      <x:c r="B66" s="76" t="str">
        <x:v>Test Case</x:v>
      </x:c>
      <x:c r="C66" s="76" t="str">
        <x:v>AE-CONTACT-001 - Verify that a logged-out user can submit the Contact Us form successfully with a file attachment</x:v>
      </x:c>
      <x:c r="D66" s="76" t="str">
        <x:v>Done</x:v>
      </x:c>
      <x:c r="E66" s="76" t="str">
        <x:v>Medium</x:v>
      </x:c>
      <x:c r="F66" s="76" t="str">
        <x:v>Kevin Mcmahon</x:v>
      </x:c>
      <x:c r="G66" s="76" t="str"/>
      <x:c r="H66" s="76" t="str">
        <x:v>AE-CONTACT-001</x:v>
      </x:c>
      <x:c r="I66" s="76" t="str"/>
      <x:c r="J66" s="76" t="str">
        <x:v>Pass</x:v>
      </x:c>
      <x:c r="K66" s="76" t="str">
        <x:v>Manual</x:v>
      </x:c>
      <x:c r="L66" s="76" t="str">
        <x:v>AEQA-6</x:v>
      </x:c>
      <x:c r="M66" s="76" t="str"/>
      <x:c r="N66" s="76" t="str">
        <x:v>10/Aug/26 7:59 PM</x:v>
      </x:c>
    </x:row>
    <x:row r="67" ht="26.399999618530273" hidden="0" customHeight="1">
      <x:c r="A67" s="76" t="str">
        <x:v>AEQA-63</x:v>
      </x:c>
      <x:c r="B67" s="76" t="str">
        <x:v>Test Case</x:v>
      </x:c>
      <x:c r="C67" s="76" t="str">
        <x:v>AE-NAV-001 - Verify that a logged-out user can navigate to the Test Cases page successfully</x:v>
      </x:c>
      <x:c r="D67" s="76" t="str">
        <x:v>Done</x:v>
      </x:c>
      <x:c r="E67" s="76" t="str">
        <x:v>Low</x:v>
      </x:c>
      <x:c r="F67" s="76" t="str">
        <x:v>Kevin Mcmahon</x:v>
      </x:c>
      <x:c r="G67" s="76" t="str"/>
      <x:c r="H67" s="76" t="str">
        <x:v>AE-NAV-001</x:v>
      </x:c>
      <x:c r="I67" s="76" t="str"/>
      <x:c r="J67" s="76" t="str">
        <x:v>Pass</x:v>
      </x:c>
      <x:c r="K67" s="76" t="str">
        <x:v>Manual</x:v>
      </x:c>
      <x:c r="L67" s="76" t="str">
        <x:v>AEQA-7</x:v>
      </x:c>
      <x:c r="M67" s="76" t="str"/>
      <x:c r="N67" s="76" t="str">
        <x:v>10/Aug/26 7:59 PM</x:v>
      </x:c>
    </x:row>
    <x:row r="68" ht="26.399999618530273" hidden="0" customHeight="1">
      <x:c r="A68" s="76" t="str">
        <x:v>AEQA-64</x:v>
      </x:c>
      <x:c r="B68" s="76" t="str">
        <x:v>Test Case</x:v>
      </x:c>
      <x:c r="C68" s="76" t="str">
        <x:v>AE-SUB-001 - Verify that a logged-out user can subscribe successfully from the home-page footer</x:v>
      </x:c>
      <x:c r="D68" s="76" t="str">
        <x:v>Done</x:v>
      </x:c>
      <x:c r="E68" s="76" t="str">
        <x:v>Medium</x:v>
      </x:c>
      <x:c r="F68" s="76" t="str">
        <x:v>Kevin Mcmahon</x:v>
      </x:c>
      <x:c r="G68" s="76" t="str"/>
      <x:c r="H68" s="76" t="str">
        <x:v>AE-SUB-001</x:v>
      </x:c>
      <x:c r="I68" s="76" t="str"/>
      <x:c r="J68" s="76" t="str">
        <x:v>Pass</x:v>
      </x:c>
      <x:c r="K68" s="76" t="str">
        <x:v>Manual</x:v>
      </x:c>
      <x:c r="L68" s="76" t="str">
        <x:v>AEQA-10</x:v>
      </x:c>
      <x:c r="M68" s="76" t="str"/>
      <x:c r="N68" s="76" t="str">
        <x:v>10/Aug/26 7:59 PM</x:v>
      </x:c>
    </x:row>
    <x:row r="69" ht="26.399999618530273" hidden="0" customHeight="1">
      <x:c r="A69" s="76" t="str">
        <x:v>AEQA-65</x:v>
      </x:c>
      <x:c r="B69" s="76" t="str">
        <x:v>Test Case</x:v>
      </x:c>
      <x:c r="C69" s="76" t="str">
        <x:v>AE-SUB-002 - Verify that a logged-out user can subscribe successfully from the cart-page footer</x:v>
      </x:c>
      <x:c r="D69" s="76" t="str">
        <x:v>Done</x:v>
      </x:c>
      <x:c r="E69" s="76" t="str">
        <x:v>Medium</x:v>
      </x:c>
      <x:c r="F69" s="76" t="str">
        <x:v>Kevin Mcmahon</x:v>
      </x:c>
      <x:c r="G69" s="76" t="str"/>
      <x:c r="H69" s="76" t="str">
        <x:v>AE-SUB-002</x:v>
      </x:c>
      <x:c r="I69" s="76" t="str"/>
      <x:c r="J69" s="76" t="str">
        <x:v>Pass</x:v>
      </x:c>
      <x:c r="K69" s="76" t="str">
        <x:v>Manual</x:v>
      </x:c>
      <x:c r="L69" s="76" t="str">
        <x:v>AEQA-11</x:v>
      </x:c>
      <x:c r="M69" s="76" t="str"/>
      <x:c r="N69" s="76" t="str">
        <x:v>10/Aug/26 7:59 PM</x:v>
      </x:c>
    </x:row>
    <x:row r="70" ht="26.399999618530273" hidden="0" customHeight="1">
      <x:c r="A70" s="76" t="str">
        <x:v>AEQA-66</x:v>
      </x:c>
      <x:c r="B70" s="76" t="str">
        <x:v>Test Case</x:v>
      </x:c>
      <x:c r="C70" s="76" t="str">
        <x:v>API-PRODUCT-001 - Verify retrieval of the complete products list</x:v>
      </x:c>
      <x:c r="D70" s="76" t="str">
        <x:v>Done</x:v>
      </x:c>
      <x:c r="E70" s="76" t="str">
        <x:v>High</x:v>
      </x:c>
      <x:c r="F70" s="76" t="str">
        <x:v>Kevin Mcmahon</x:v>
      </x:c>
      <x:c r="G70" s="76" t="str"/>
      <x:c r="H70" s="76" t="str">
        <x:v>API-PRODUCT-001</x:v>
      </x:c>
      <x:c r="I70" s="76" t="str"/>
      <x:c r="J70" s="76" t="str">
        <x:v>Pass</x:v>
      </x:c>
      <x:c r="K70" s="76" t="str">
        <x:v>Manual</x:v>
      </x:c>
      <x:c r="L70" s="76" t="str">
        <x:v>AEQA-31</x:v>
      </x:c>
      <x:c r="M70" s="76" t="str"/>
      <x:c r="N70" s="76" t="str">
        <x:v>10/Aug/26 7:59 PM</x:v>
      </x:c>
    </x:row>
    <x:row r="71" ht="26.399999618530273" hidden="0" customHeight="1">
      <x:c r="A71" s="76" t="str">
        <x:v>AEQA-67</x:v>
      </x:c>
      <x:c r="B71" s="76" t="str">
        <x:v>Test Case</x:v>
      </x:c>
      <x:c r="C71" s="76" t="str">
        <x:v>API-PRODUCT-002 - Verify POST is rejected for the products-list endpoint</x:v>
      </x:c>
      <x:c r="D71" s="76" t="str">
        <x:v>Done</x:v>
      </x:c>
      <x:c r="E71" s="76" t="str">
        <x:v>Medium</x:v>
      </x:c>
      <x:c r="F71" s="76" t="str">
        <x:v>Kevin Mcmahon</x:v>
      </x:c>
      <x:c r="G71" s="76" t="str"/>
      <x:c r="H71" s="76" t="str">
        <x:v>API-PRODUCT-002</x:v>
      </x:c>
      <x:c r="I71" s="76" t="str"/>
      <x:c r="J71" s="76" t="str">
        <x:v>Pass</x:v>
      </x:c>
      <x:c r="K71" s="76" t="str">
        <x:v>Manual</x:v>
      </x:c>
      <x:c r="L71" s="76" t="str">
        <x:v>AEQA-32</x:v>
      </x:c>
      <x:c r="M71" s="76" t="str"/>
      <x:c r="N71" s="76" t="str">
        <x:v>10/Aug/26 8:00 PM</x:v>
      </x:c>
    </x:row>
    <x:row r="72" ht="26.399999618530273" hidden="0" customHeight="1">
      <x:c r="A72" s="76" t="str">
        <x:v>AEQA-68</x:v>
      </x:c>
      <x:c r="B72" s="76" t="str">
        <x:v>Test Case</x:v>
      </x:c>
      <x:c r="C72" s="76" t="str">
        <x:v>API-BRAND-001 - Verify retrieval of the complete brands list</x:v>
      </x:c>
      <x:c r="D72" s="76" t="str">
        <x:v>Done</x:v>
      </x:c>
      <x:c r="E72" s="76" t="str">
        <x:v>High</x:v>
      </x:c>
      <x:c r="F72" s="76" t="str">
        <x:v>Kevin Mcmahon</x:v>
      </x:c>
      <x:c r="G72" s="76" t="str"/>
      <x:c r="H72" s="76" t="str">
        <x:v>API-BRAND-001</x:v>
      </x:c>
      <x:c r="I72" s="76" t="str"/>
      <x:c r="J72" s="76" t="str">
        <x:v>Pass</x:v>
      </x:c>
      <x:c r="K72" s="76" t="str">
        <x:v>Manual</x:v>
      </x:c>
      <x:c r="L72" s="76" t="str">
        <x:v>AEQA-33</x:v>
      </x:c>
      <x:c r="M72" s="76" t="str"/>
      <x:c r="N72" s="76" t="str">
        <x:v>10/Aug/26 8:00 PM</x:v>
      </x:c>
    </x:row>
    <x:row r="73" ht="26.399999618530273" hidden="0" customHeight="1">
      <x:c r="A73" s="76" t="str">
        <x:v>AEQA-69</x:v>
      </x:c>
      <x:c r="B73" s="76" t="str">
        <x:v>Test Case</x:v>
      </x:c>
      <x:c r="C73" s="76" t="str">
        <x:v>API-BRAND-002 - Verify PUT is rejected for the brands-list endpoint</x:v>
      </x:c>
      <x:c r="D73" s="76" t="str">
        <x:v>Done</x:v>
      </x:c>
      <x:c r="E73" s="76" t="str">
        <x:v>Medium</x:v>
      </x:c>
      <x:c r="F73" s="76" t="str">
        <x:v>Kevin Mcmahon</x:v>
      </x:c>
      <x:c r="G73" s="76" t="str"/>
      <x:c r="H73" s="76" t="str">
        <x:v>API-BRAND-002</x:v>
      </x:c>
      <x:c r="I73" s="76" t="str"/>
      <x:c r="J73" s="76" t="str">
        <x:v>Pass</x:v>
      </x:c>
      <x:c r="K73" s="76" t="str">
        <x:v>Manual</x:v>
      </x:c>
      <x:c r="L73" s="76" t="str">
        <x:v>AEQA-34</x:v>
      </x:c>
      <x:c r="M73" s="76" t="str"/>
      <x:c r="N73" s="76" t="str">
        <x:v>10/Aug/26 8:00 PM</x:v>
      </x:c>
    </x:row>
    <x:row r="74" ht="26.399999618530273" hidden="0" customHeight="1">
      <x:c r="A74" s="76" t="str">
        <x:v>AEQA-70</x:v>
      </x:c>
      <x:c r="B74" s="76" t="str">
        <x:v>Test Case</x:v>
      </x:c>
      <x:c r="C74" s="76" t="str">
        <x:v>API-SEARCH-001 - Verify products can be searched using a valid search_product value</x:v>
      </x:c>
      <x:c r="D74" s="76" t="str">
        <x:v>Done</x:v>
      </x:c>
      <x:c r="E74" s="76" t="str">
        <x:v>High</x:v>
      </x:c>
      <x:c r="F74" s="76" t="str">
        <x:v>Kevin Mcmahon</x:v>
      </x:c>
      <x:c r="G74" s="76" t="str"/>
      <x:c r="H74" s="76" t="str">
        <x:v>API-SEARCH-001</x:v>
      </x:c>
      <x:c r="I74" s="76" t="str"/>
      <x:c r="J74" s="76" t="str">
        <x:v>Pass</x:v>
      </x:c>
      <x:c r="K74" s="76" t="str">
        <x:v>Manual</x:v>
      </x:c>
      <x:c r="L74" s="76" t="str">
        <x:v>AEQA-35</x:v>
      </x:c>
      <x:c r="M74" s="76" t="str"/>
      <x:c r="N74" s="76" t="str">
        <x:v>10/Aug/26 8:00 PM</x:v>
      </x:c>
    </x:row>
    <x:row r="75" ht="26.399999618530273" hidden="0" customHeight="1">
      <x:c r="A75" s="76" t="str">
        <x:v>AEQA-71</x:v>
      </x:c>
      <x:c r="B75" s="76" t="str">
        <x:v>Test Case</x:v>
      </x:c>
      <x:c r="C75" s="76" t="str">
        <x:v>API-SEARCH-002 - Verify search validation when search_product value is omitted</x:v>
      </x:c>
      <x:c r="D75" s="76" t="str">
        <x:v>Done</x:v>
      </x:c>
      <x:c r="E75" s="76" t="str">
        <x:v>High</x:v>
      </x:c>
      <x:c r="F75" s="76" t="str">
        <x:v>Kevin Mcmahon</x:v>
      </x:c>
      <x:c r="G75" s="76" t="str"/>
      <x:c r="H75" s="76" t="str">
        <x:v>API-SEARCH-002</x:v>
      </x:c>
      <x:c r="I75" s="76" t="str"/>
      <x:c r="J75" s="76" t="str">
        <x:v>Pass</x:v>
      </x:c>
      <x:c r="K75" s="76" t="str">
        <x:v>Manual</x:v>
      </x:c>
      <x:c r="L75" s="76" t="str">
        <x:v>AEQA-36</x:v>
      </x:c>
      <x:c r="M75" s="76" t="str"/>
      <x:c r="N75" s="76" t="str">
        <x:v>10/Aug/26 8:00 PM</x:v>
      </x:c>
    </x:row>
    <x:row r="76" ht="15" hidden="0" customHeight="1">
      <x:c r="A76" s="76" t="str">
        <x:v>AEQA-72</x:v>
      </x:c>
      <x:c r="B76" s="76" t="str">
        <x:v>Test Case</x:v>
      </x:c>
      <x:c r="C76" s="76" t="str">
        <x:v>API-AUTH-001 - Verify login API with valid credentials</x:v>
      </x:c>
      <x:c r="D76" s="76" t="str">
        <x:v>Done</x:v>
      </x:c>
      <x:c r="E76" s="76" t="str">
        <x:v>Highest</x:v>
      </x:c>
      <x:c r="F76" s="76" t="str">
        <x:v>Kevin Mcmahon</x:v>
      </x:c>
      <x:c r="G76" s="76" t="str"/>
      <x:c r="H76" s="76" t="str">
        <x:v>API-AUTH-001</x:v>
      </x:c>
      <x:c r="I76" s="76" t="str"/>
      <x:c r="J76" s="76" t="str">
        <x:v>Pass</x:v>
      </x:c>
      <x:c r="K76" s="76" t="str">
        <x:v>Manual</x:v>
      </x:c>
      <x:c r="L76" s="76" t="str">
        <x:v>AEQA-37</x:v>
      </x:c>
      <x:c r="M76" s="76" t="str"/>
      <x:c r="N76" s="76" t="str">
        <x:v>10/Aug/26 8:00 PM</x:v>
      </x:c>
    </x:row>
    <x:row r="77" ht="26.399999618530273" hidden="0" customHeight="1">
      <x:c r="A77" s="76" t="str">
        <x:v>AEQA-73</x:v>
      </x:c>
      <x:c r="B77" s="76" t="str">
        <x:v>Test Case</x:v>
      </x:c>
      <x:c r="C77" s="76" t="str">
        <x:v>API-AUTH-002 - Verify login validation when email is omitted</x:v>
      </x:c>
      <x:c r="D77" s="76" t="str">
        <x:v>Done</x:v>
      </x:c>
      <x:c r="E77" s="76" t="str">
        <x:v>High</x:v>
      </x:c>
      <x:c r="F77" s="76" t="str">
        <x:v>Kevin Mcmahon</x:v>
      </x:c>
      <x:c r="G77" s="76" t="str"/>
      <x:c r="H77" s="76" t="str">
        <x:v>API-AUTH-002</x:v>
      </x:c>
      <x:c r="I77" s="76" t="str"/>
      <x:c r="J77" s="76" t="str">
        <x:v>Pass</x:v>
      </x:c>
      <x:c r="K77" s="76" t="str">
        <x:v>Manual</x:v>
      </x:c>
      <x:c r="L77" s="76" t="str">
        <x:v>AEQA-38</x:v>
      </x:c>
      <x:c r="M77" s="76" t="str"/>
      <x:c r="N77" s="76" t="str">
        <x:v>10/Aug/26 8:00 PM</x:v>
      </x:c>
    </x:row>
    <x:row r="78" ht="26.399999618530273" hidden="0" customHeight="1">
      <x:c r="A78" s="76" t="str">
        <x:v>AEQA-74</x:v>
      </x:c>
      <x:c r="B78" s="76" t="str">
        <x:v>Test Case</x:v>
      </x:c>
      <x:c r="C78" s="76" t="str">
        <x:v>API-AUTH-003 - Verify DELETE is rejected for the login-verification endpoint</x:v>
      </x:c>
      <x:c r="D78" s="76" t="str">
        <x:v>Done</x:v>
      </x:c>
      <x:c r="E78" s="76" t="str">
        <x:v>Medium</x:v>
      </x:c>
      <x:c r="F78" s="76" t="str">
        <x:v>Kevin Mcmahon</x:v>
      </x:c>
      <x:c r="G78" s="76" t="str"/>
      <x:c r="H78" s="76" t="str">
        <x:v>API-AUTH-003</x:v>
      </x:c>
      <x:c r="I78" s="76" t="str"/>
      <x:c r="J78" s="76" t="str">
        <x:v>Pass</x:v>
      </x:c>
      <x:c r="K78" s="76" t="str">
        <x:v>Manual</x:v>
      </x:c>
      <x:c r="L78" s="76" t="str">
        <x:v>AEQA-39</x:v>
      </x:c>
      <x:c r="M78" s="76" t="str"/>
      <x:c r="N78" s="76" t="str">
        <x:v>10/Aug/26 8:00 PM</x:v>
      </x:c>
    </x:row>
    <x:row r="79" ht="26.399999618530273" hidden="0" customHeight="1">
      <x:c r="A79" s="76" t="str">
        <x:v>AEQA-75</x:v>
      </x:c>
      <x:c r="B79" s="76" t="str">
        <x:v>Test Case</x:v>
      </x:c>
      <x:c r="C79" s="76" t="str">
        <x:v>API-AUTH-004 - Verify login API rejects invalid credentials</x:v>
      </x:c>
      <x:c r="D79" s="76" t="str">
        <x:v>Done</x:v>
      </x:c>
      <x:c r="E79" s="76" t="str">
        <x:v>High</x:v>
      </x:c>
      <x:c r="F79" s="76" t="str">
        <x:v>Kevin Mcmahon</x:v>
      </x:c>
      <x:c r="G79" s="76" t="str"/>
      <x:c r="H79" s="76" t="str">
        <x:v>API-AUTH-004</x:v>
      </x:c>
      <x:c r="I79" s="76" t="str"/>
      <x:c r="J79" s="76" t="str">
        <x:v>Pass</x:v>
      </x:c>
      <x:c r="K79" s="76" t="str">
        <x:v>Manual</x:v>
      </x:c>
      <x:c r="L79" s="76" t="str">
        <x:v>AEQA-40</x:v>
      </x:c>
      <x:c r="M79" s="76" t="str"/>
      <x:c r="N79" s="76" t="str">
        <x:v>10/Aug/26 8:00 PM</x:v>
      </x:c>
    </x:row>
    <x:row r="80" ht="26.399999618530273" hidden="0" customHeight="1">
      <x:c r="A80" s="76" t="str">
        <x:v>AEQA-76</x:v>
      </x:c>
      <x:c r="B80" s="76" t="str">
        <x:v>Test Case</x:v>
      </x:c>
      <x:c r="C80" s="76" t="str">
        <x:v>API-ACCOUNT-001 - Verify a user account can be created through the API</x:v>
      </x:c>
      <x:c r="D80" s="76" t="str">
        <x:v>Done</x:v>
      </x:c>
      <x:c r="E80" s="76" t="str">
        <x:v>Highest</x:v>
      </x:c>
      <x:c r="F80" s="76" t="str">
        <x:v>Kevin Mcmahon</x:v>
      </x:c>
      <x:c r="G80" s="76" t="str"/>
      <x:c r="H80" s="76" t="str">
        <x:v>API-ACCOUNT-001</x:v>
      </x:c>
      <x:c r="I80" s="76" t="str"/>
      <x:c r="J80" s="76" t="str">
        <x:v>Pass</x:v>
      </x:c>
      <x:c r="K80" s="76" t="str">
        <x:v>Manual</x:v>
      </x:c>
      <x:c r="L80" s="76" t="str">
        <x:v>AEQA-41</x:v>
      </x:c>
      <x:c r="M80" s="76" t="str"/>
      <x:c r="N80" s="76" t="str">
        <x:v>10/Aug/26 8:00 PM</x:v>
      </x:c>
    </x:row>
    <x:row r="81" ht="26.399999618530273" hidden="0" customHeight="1">
      <x:c r="A81" s="76" t="str">
        <x:v>AEQA-77</x:v>
      </x:c>
      <x:c r="B81" s="76" t="str">
        <x:v>Test Case</x:v>
      </x:c>
      <x:c r="C81" s="76" t="str">
        <x:v>API-ACCOUNT-002 - Verify a user account can be deleted through the API</x:v>
      </x:c>
      <x:c r="D81" s="76" t="str">
        <x:v>Done</x:v>
      </x:c>
      <x:c r="E81" s="76" t="str">
        <x:v>Highest</x:v>
      </x:c>
      <x:c r="F81" s="76" t="str">
        <x:v>Kevin Mcmahon</x:v>
      </x:c>
      <x:c r="G81" s="76" t="str"/>
      <x:c r="H81" s="76" t="str">
        <x:v>API-ACCOUNT-002</x:v>
      </x:c>
      <x:c r="I81" s="76" t="str"/>
      <x:c r="J81" s="76" t="str">
        <x:v>Pass</x:v>
      </x:c>
      <x:c r="K81" s="76" t="str">
        <x:v>Manual</x:v>
      </x:c>
      <x:c r="L81" s="76" t="str">
        <x:v>AEQA-42</x:v>
      </x:c>
      <x:c r="M81" s="76" t="str"/>
      <x:c r="N81" s="76" t="str">
        <x:v>10/Aug/26 8:00 PM</x:v>
      </x:c>
    </x:row>
    <x:row r="82" ht="26.399999618530273" hidden="0" customHeight="1">
      <x:c r="A82" s="76" t="str">
        <x:v>AEQA-78</x:v>
      </x:c>
      <x:c r="B82" s="76" t="str">
        <x:v>Test Case</x:v>
      </x:c>
      <x:c r="C82" s="76" t="str">
        <x:v>API-ACCOUNT-003 - Verify a user account can be updated through the API</x:v>
      </x:c>
      <x:c r="D82" s="76" t="str">
        <x:v>Done</x:v>
      </x:c>
      <x:c r="E82" s="76" t="str">
        <x:v>High</x:v>
      </x:c>
      <x:c r="F82" s="76" t="str">
        <x:v>Kevin Mcmahon</x:v>
      </x:c>
      <x:c r="G82" s="76" t="str"/>
      <x:c r="H82" s="76" t="str">
        <x:v>API-ACCOUNT-003</x:v>
      </x:c>
      <x:c r="I82" s="76" t="str"/>
      <x:c r="J82" s="76" t="str">
        <x:v>Pass</x:v>
      </x:c>
      <x:c r="K82" s="76" t="str">
        <x:v>Manual</x:v>
      </x:c>
      <x:c r="L82" s="76" t="str">
        <x:v>AEQA-43</x:v>
      </x:c>
      <x:c r="M82" s="76" t="str"/>
      <x:c r="N82" s="76" t="str">
        <x:v>10/Aug/26 8:00 PM</x:v>
      </x:c>
    </x:row>
    <x:row r="83" ht="26.399999618530273" hidden="0" customHeight="1">
      <x:c r="A83" s="76" t="str">
        <x:v>AEQA-79</x:v>
      </x:c>
      <x:c r="B83" s="76" t="str">
        <x:v>Test Case</x:v>
      </x:c>
      <x:c r="C83" s="76" t="str">
        <x:v>API-ACCOUNT-004 - Verify user-account details can be retrieved by email</x:v>
      </x:c>
      <x:c r="D83" s="76" t="str">
        <x:v>Done</x:v>
      </x:c>
      <x:c r="E83" s="76" t="str">
        <x:v>High</x:v>
      </x:c>
      <x:c r="F83" s="76" t="str">
        <x:v>Kevin Mcmahon</x:v>
      </x:c>
      <x:c r="G83" s="76" t="str"/>
      <x:c r="H83" s="76" t="str">
        <x:v>API-ACCOUNT-004</x:v>
      </x:c>
      <x:c r="I83" s="76" t="str"/>
      <x:c r="J83" s="76" t="str">
        <x:v>Pass</x:v>
      </x:c>
      <x:c r="K83" s="76" t="str">
        <x:v>Manual</x:v>
      </x:c>
      <x:c r="L83" s="76" t="str">
        <x:v>AEQA-44</x:v>
      </x:c>
      <x:c r="M83" s="76" t="str"/>
      <x:c r="N83" s="76" t="str">
        <x:v>10/Aug/26 8:00 PM</x:v>
      </x:c>
    </x:row>
    <x:row r="84" ht="26.399999618530273" hidden="0" customHeight="1">
      <x:c r="A84" s="76" t="str">
        <x:v>AEQA-80</x:v>
      </x:c>
      <x:c r="B84" s="76" t="str">
        <x:v>Bug</x:v>
      </x:c>
      <x:c r="C84" s="76" t="str">
        <x:v>AE-BUG-001 - Authenticated user information remains visible after logout when navigating back</x:v>
      </x:c>
      <x:c r="D84" s="76" t="str">
        <x:v>Selected for Development</x:v>
      </x:c>
      <x:c r="E84" s="76" t="str">
        <x:v>High</x:v>
      </x:c>
      <x:c r="F84" s="76" t="str">
        <x:v>Kevin Mcmahon</x:v>
      </x:c>
      <x:c r="G84" s="76" t="str"/>
      <x:c r="H84" s="76" t="str"/>
      <x:c r="I84" s="76" t="str">
        <x:v>AE-BUG-001</x:v>
      </x:c>
      <x:c r="J84" s="76" t="str"/>
      <x:c r="K84" s="76" t="str"/>
      <x:c r="L84" s="76" t="str"/>
      <x:c r="M84" s="76" t="str"/>
      <x:c r="N84" s="76" t="str">
        <x:v>2026-08-15 23:29 EDT</x:v>
      </x:c>
    </x:row>
    <x:row r="85" ht="39.599998474121094" hidden="0" customHeight="1">
      <x:c r="A85" s="76" t="str">
        <x:v>AEQA-81</x:v>
      </x:c>
      <x:c r="B85" s="76" t="str">
        <x:v>Bug</x:v>
      </x:c>
      <x:c r="C85" s="76" t="str">
        <x:v>AE-BUG-002 - Repeated logout request causes an unhandled KeyError and exposes internal debugging information</x:v>
      </x:c>
      <x:c r="D85" s="76" t="str">
        <x:v>Selected for Development</x:v>
      </x:c>
      <x:c r="E85" s="76" t="str">
        <x:v>High</x:v>
      </x:c>
      <x:c r="F85" s="76" t="str">
        <x:v>Kevin Mcmahon</x:v>
      </x:c>
      <x:c r="G85" s="76" t="str"/>
      <x:c r="H85" s="76" t="str"/>
      <x:c r="I85" s="76" t="str">
        <x:v>AE-BUG-002</x:v>
      </x:c>
      <x:c r="J85" s="76" t="str"/>
      <x:c r="K85" s="76" t="str"/>
      <x:c r="L85" s="76" t="str"/>
      <x:c r="M85" s="76" t="str"/>
      <x:c r="N85" s="76" t="str">
        <x:v>2026-08-15 23:28 EDT</x:v>
      </x:c>
    </x:row>
    <x:row r="86" ht="26.399999618530273" hidden="0" customHeight="1">
      <x:c r="A86" s="76" t="str">
        <x:v>AEQA-82</x:v>
      </x:c>
      <x:c r="B86" s="76" t="str">
        <x:v>Bug</x:v>
      </x:c>
      <x:c r="C86" s="76" t="str">
        <x:v>AE-BUG-003 - Cart does not display the overall total after multiple products are added</x:v>
      </x:c>
      <x:c r="D86" s="76" t="str">
        <x:v>Selected for Development</x:v>
      </x:c>
      <x:c r="E86" s="76" t="str">
        <x:v>High</x:v>
      </x:c>
      <x:c r="F86" s="76" t="str">
        <x:v>Kevin Mcmahon</x:v>
      </x:c>
      <x:c r="G86" s="76" t="str"/>
      <x:c r="H86" s="76" t="str"/>
      <x:c r="I86" s="76" t="str">
        <x:v>AE-BUG-003</x:v>
      </x:c>
      <x:c r="J86" s="76" t="str"/>
      <x:c r="K86" s="76" t="str"/>
      <x:c r="L86" s="76" t="str"/>
      <x:c r="M86" s="76" t="str"/>
      <x:c r="N86" s="76" t="str">
        <x:v>2026-08-12 22:25 EDT</x:v>
      </x:c>
    </x:row>
    <x:row r="87" ht="52.79999923706055" hidden="0" customHeight="1">
      <x:c r="A87" s="76" t="str">
        <x:v>AEQA-83</x:v>
      </x:c>
      <x:c r="B87" s="76" t="str">
        <x:v>Bug</x:v>
      </x:c>
      <x:c r="C87" s="76" t="str">
        <x:v>AE-BUG-004 - The quantity field on the product-detail page does not respond when the user attempts to edit it. As a result, the user cannot select the desired quantity before adding the product to the cart.</x:v>
      </x:c>
      <x:c r="D87" s="76" t="str">
        <x:v>Done</x:v>
      </x:c>
      <x:c r="E87" s="76" t="str">
        <x:v>High</x:v>
      </x:c>
      <x:c r="F87" s="76" t="str">
        <x:v>Kevin Mcmahon</x:v>
      </x:c>
      <x:c r="G87" s="76" t="str"/>
      <x:c r="H87" s="76" t="str"/>
      <x:c r="I87" s="76" t="str">
        <x:v>AE-BUG-004</x:v>
      </x:c>
      <x:c r="J87" s="76" t="str"/>
      <x:c r="K87" s="76" t="str"/>
      <x:c r="L87" s="76" t="str"/>
      <x:c r="M87" s="76" t="str"/>
      <x:c r="N87" s="76" t="str">
        <x:v>2026-08-12 22:26 EDT</x:v>
      </x:c>
    </x:row>
    <x:row r="88" ht="26.399999618530273" hidden="0" customHeight="1">
      <x:c r="A88" s="76" t="str">
        <x:v>AEQA-84</x:v>
      </x:c>
      <x:c r="B88" s="76" t="str">
        <x:v>Bug</x:v>
      </x:c>
      <x:c r="C88" s="76" t="str">
        <x:v>BUG-API-001 - Products List API returns HTTP 200 instead of 405 for unsupported POST request</x:v>
      </x:c>
      <x:c r="D88" s="76" t="str">
        <x:v>Done</x:v>
      </x:c>
      <x:c r="E88" s="76" t="str">
        <x:v>Medium</x:v>
      </x:c>
      <x:c r="F88" s="76" t="str">
        <x:v>Kevin Mcmahon</x:v>
      </x:c>
      <x:c r="G88" s="76" t="str"/>
      <x:c r="H88" s="76" t="str"/>
      <x:c r="I88" s="76" t="str">
        <x:v>BUG-API-001</x:v>
      </x:c>
      <x:c r="J88" s="76" t="str"/>
      <x:c r="K88" s="76" t="str"/>
      <x:c r="L88" s="76" t="str"/>
      <x:c r="M88" s="76" t="str"/>
      <x:c r="N88" s="76" t="str">
        <x:v>2026-08-12 22:26 EDT</x:v>
      </x:c>
    </x:row>
    <x:row r="89" ht="26.399999618530273" hidden="0" customHeight="1">
      <x:c r="A89" s="76" t="str">
        <x:v>AEQA-85</x:v>
      </x:c>
      <x:c r="B89" s="76" t="str">
        <x:v>Bug</x:v>
      </x:c>
      <x:c r="C89" s="76" t="str">
        <x:v>BUG-API-002 - Search Product API returns all products when required search_product parameter is omitted</x:v>
      </x:c>
      <x:c r="D89" s="76" t="str">
        <x:v>Done</x:v>
      </x:c>
      <x:c r="E89" s="76" t="str">
        <x:v>High</x:v>
      </x:c>
      <x:c r="F89" s="76" t="str">
        <x:v>Kevin Mcmahon</x:v>
      </x:c>
      <x:c r="G89" s="76" t="str"/>
      <x:c r="H89" s="76" t="str"/>
      <x:c r="I89" s="76" t="str">
        <x:v>BUG-API-002</x:v>
      </x:c>
      <x:c r="J89" s="76" t="str"/>
      <x:c r="K89" s="76" t="str"/>
      <x:c r="L89" s="76" t="str"/>
      <x:c r="M89" s="76" t="str"/>
      <x:c r="N89" s="76" t="str">
        <x:v>2026-08-12 22:26 EDT</x:v>
      </x:c>
    </x:row>
    <x:row r="90" ht="26.399999618530273" hidden="0" customHeight="1">
      <x:c r="A90" s="76" t="str">
        <x:v>AEQA-86</x:v>
      </x:c>
      <x:c r="B90" s="76" t="str">
        <x:v>Sub-task</x:v>
      </x:c>
      <x:c r="C90" s="76" t="str">
        <x:v>Define the register-during-checkout end-to-end test flow</x:v>
      </x:c>
      <x:c r="D90" s="76" t="str">
        <x:v>Backlog</x:v>
      </x:c>
      <x:c r="E90" s="76" t="str">
        <x:v>Medium</x:v>
      </x:c>
      <x:c r="F90" s="76" t="str"/>
      <x:c r="G90" s="76" t="str"/>
      <x:c r="H90" s="76" t="str"/>
      <x:c r="I90" s="76" t="str"/>
      <x:c r="J90" s="76" t="str"/>
      <x:c r="K90" s="76" t="str"/>
      <x:c r="L90" s="76" t="str"/>
      <x:c r="M90" s="76" t="str">
        <x:v>AEQA-14</x:v>
      </x:c>
      <x:c r="N90" s="76" t="str">
        <x:v>10/Aug/26 8:31 PM</x:v>
      </x:c>
    </x:row>
    <x:row r="91" ht="15" hidden="0" customHeight="1">
      <x:c r="A91" s="76" t="str">
        <x:v>AEQA-87</x:v>
      </x:c>
      <x:c r="B91" s="76" t="str">
        <x:v>Sub-task</x:v>
      </x:c>
      <x:c r="C91" s="76" t="str">
        <x:v>Prepare test data and checkout prerequisites</x:v>
      </x:c>
      <x:c r="D91" s="76" t="str">
        <x:v>Done</x:v>
      </x:c>
      <x:c r="E91" s="76" t="str">
        <x:v>Medium</x:v>
      </x:c>
      <x:c r="F91" s="76" t="str">
        <x:v>Kevin Mcmahon</x:v>
      </x:c>
      <x:c r="G91" s="76" t="str"/>
      <x:c r="H91" s="76" t="str"/>
      <x:c r="I91" s="76" t="str"/>
      <x:c r="J91" s="76" t="str"/>
      <x:c r="K91" s="76" t="str"/>
      <x:c r="L91" s="76" t="str"/>
      <x:c r="M91" s="76" t="str">
        <x:v>AEQA-14</x:v>
      </x:c>
      <x:c r="N91" s="76" t="str">
        <x:v>14/Aug/26 8:22 AM</x:v>
      </x:c>
    </x:row>
    <x:row r="92" ht="15" hidden="0" customHeight="1">
      <x:c r="A92" s="76" t="str">
        <x:v>AEQA-88</x:v>
      </x:c>
      <x:c r="B92" s="76" t="str">
        <x:v>Sub-task</x:v>
      </x:c>
      <x:c r="C92" s="76" t="str">
        <x:v>Run and validate the new checkout test in QA</x:v>
      </x:c>
      <x:c r="D92" s="76" t="str">
        <x:v>Done</x:v>
      </x:c>
      <x:c r="E92" s="76" t="str">
        <x:v>Medium</x:v>
      </x:c>
      <x:c r="F92" s="76" t="str">
        <x:v>Kevin Mcmahon</x:v>
      </x:c>
      <x:c r="G92" s="76" t="str"/>
      <x:c r="H92" s="76" t="str"/>
      <x:c r="I92" s="76" t="str"/>
      <x:c r="J92" s="76" t="str"/>
      <x:c r="K92" s="76" t="str"/>
      <x:c r="L92" s="76" t="str"/>
      <x:c r="M92" s="76" t="str">
        <x:v>AEQA-14</x:v>
      </x:c>
      <x:c r="N92" s="76" t="str">
        <x:v>14/Aug/26 8:22 AM</x:v>
      </x:c>
    </x:row>
    <x:row r="93" ht="26.399999618530273" hidden="0" customHeight="1">
      <x:c r="A93" s="76" t="str">
        <x:v>AEQA-89</x:v>
      </x:c>
      <x:c r="B93" s="76" t="str">
        <x:v>Sub-task</x:v>
      </x:c>
      <x:c r="C93" s="76" t="str">
        <x:v>Automate the register-while-checking-out scenario in Playwright</x:v>
      </x:c>
      <x:c r="D93" s="76" t="str">
        <x:v>Done</x:v>
      </x:c>
      <x:c r="E93" s="76" t="str">
        <x:v>Medium</x:v>
      </x:c>
      <x:c r="F93" s="76" t="str">
        <x:v>Kevin Mcmahon</x:v>
      </x:c>
      <x:c r="G93" s="76" t="str"/>
      <x:c r="H93" s="76" t="str"/>
      <x:c r="I93" s="76" t="str"/>
      <x:c r="J93" s="76" t="str"/>
      <x:c r="K93" s="76" t="str"/>
      <x:c r="L93" s="76" t="str"/>
      <x:c r="M93" s="76" t="str">
        <x:v>AEQA-14</x:v>
      </x:c>
      <x:c r="N93" s="76" t="str">
        <x:v>16/Aug/26 12:34 AM</x:v>
      </x:c>
    </x:row>
    <x:row r="94" ht="26.399999618530273" hidden="0" customHeight="1">
      <x:c r="A94" s="76" t="str">
        <x:v>AEQA-90</x:v>
      </x:c>
      <x:c r="B94" s="76" t="str">
        <x:v>Sub-task</x:v>
      </x:c>
      <x:c r="C94" s="76" t="str">
        <x:v>Add assertions for successful registration and order completion</x:v>
      </x:c>
      <x:c r="D94" s="76" t="str">
        <x:v>Done</x:v>
      </x:c>
      <x:c r="E94" s="76" t="str">
        <x:v>Medium</x:v>
      </x:c>
      <x:c r="F94" s="76" t="str">
        <x:v>Kevin Mcmahon</x:v>
      </x:c>
      <x:c r="G94" s="76" t="str"/>
      <x:c r="H94" s="76" t="str"/>
      <x:c r="I94" s="76" t="str"/>
      <x:c r="J94" s="76" t="str"/>
      <x:c r="K94" s="76" t="str"/>
      <x:c r="L94" s="76" t="str"/>
      <x:c r="M94" s="76" t="str">
        <x:v>AEQA-14</x:v>
      </x:c>
      <x:c r="N94" s="76" t="str">
        <x:v>16/Aug/26 12:34 AM</x:v>
      </x:c>
    </x:row>
    <x:row r="95" ht="26.399999618530273" hidden="0" customHeight="1">
      <x:c r="A95" s="76" t="str">
        <x:v>AEQA-91</x:v>
      </x:c>
      <x:c r="B95" s="76" t="str">
        <x:v>Sub-task</x:v>
      </x:c>
      <x:c r="C95" s="76" t="str">
        <x:v>Prepare test data and QA prerequisites for registration and checkout</x:v>
      </x:c>
      <x:c r="D95" s="76" t="str">
        <x:v>Backlog</x:v>
      </x:c>
      <x:c r="E95" s="76" t="str">
        <x:v>Medium</x:v>
      </x:c>
      <x:c r="F95" s="76" t="str"/>
      <x:c r="G95" s="76" t="str"/>
      <x:c r="H95" s="76" t="str"/>
      <x:c r="I95" s="76" t="str"/>
      <x:c r="J95" s="76" t="str"/>
      <x:c r="K95" s="76" t="str"/>
      <x:c r="L95" s="76" t="str"/>
      <x:c r="M95" s="76" t="str">
        <x:v>AEQA-15</x:v>
      </x:c>
      <x:c r="N95" s="76" t="str">
        <x:v>10/Aug/26 8:31 PM</x:v>
      </x:c>
    </x:row>
    <x:row r="96" ht="26.399999618530273" hidden="0" customHeight="1">
      <x:c r="A96" s="76" t="str">
        <x:v>AEQA-92</x:v>
      </x:c>
      <x:c r="B96" s="76" t="str">
        <x:v>Sub-task</x:v>
      </x:c>
      <x:c r="C96" s="76" t="str">
        <x:v>Add assertions for successful registration, checkout, and order completion</x:v>
      </x:c>
      <x:c r="D96" s="76" t="str">
        <x:v>Backlog</x:v>
      </x:c>
      <x:c r="E96" s="76" t="str">
        <x:v>Medium</x:v>
      </x:c>
      <x:c r="F96" s="76" t="str"/>
      <x:c r="G96" s="76" t="str"/>
      <x:c r="H96" s="76" t="str"/>
      <x:c r="I96" s="76" t="str"/>
      <x:c r="J96" s="76" t="str"/>
      <x:c r="K96" s="76" t="str"/>
      <x:c r="L96" s="76" t="str"/>
      <x:c r="M96" s="76" t="str">
        <x:v>AEQA-15</x:v>
      </x:c>
      <x:c r="N96" s="76" t="str">
        <x:v>10/Aug/26 8:31 PM</x:v>
      </x:c>
    </x:row>
    <x:row r="97" ht="26.399999618530273" hidden="0" customHeight="1">
      <x:c r="A97" s="76" t="str">
        <x:v>AEQA-93</x:v>
      </x:c>
      <x:c r="B97" s="76" t="str">
        <x:v>Sub-task</x:v>
      </x:c>
      <x:c r="C97" s="76" t="str">
        <x:v>Automate the register-before-checkout scenario in Playwright</x:v>
      </x:c>
      <x:c r="D97" s="76" t="str">
        <x:v>Backlog</x:v>
      </x:c>
      <x:c r="E97" s="76" t="str">
        <x:v>Medium</x:v>
      </x:c>
      <x:c r="F97" s="76" t="str"/>
      <x:c r="G97" s="76" t="str"/>
      <x:c r="H97" s="76" t="str"/>
      <x:c r="I97" s="76" t="str"/>
      <x:c r="J97" s="76" t="str"/>
      <x:c r="K97" s="76" t="str"/>
      <x:c r="L97" s="76" t="str"/>
      <x:c r="M97" s="76" t="str">
        <x:v>AEQA-15</x:v>
      </x:c>
      <x:c r="N97" s="76" t="str">
        <x:v>10/Aug/26 8:31 PM</x:v>
      </x:c>
    </x:row>
    <x:row r="98" ht="26.399999618530273" hidden="0" customHeight="1">
      <x:c r="A98" s="76" t="str">
        <x:v>AEQA-94</x:v>
      </x:c>
      <x:c r="B98" s="76" t="str">
        <x:v>Sub-task</x:v>
      </x:c>
      <x:c r="C98" s="76" t="str">
        <x:v>Run and validate the new register-before-checkout test in QA</x:v>
      </x:c>
      <x:c r="D98" s="76" t="str">
        <x:v>Backlog</x:v>
      </x:c>
      <x:c r="E98" s="76" t="str">
        <x:v>Medium</x:v>
      </x:c>
      <x:c r="F98" s="76" t="str"/>
      <x:c r="G98" s="76" t="str"/>
      <x:c r="H98" s="76" t="str"/>
      <x:c r="I98" s="76" t="str"/>
      <x:c r="J98" s="76" t="str"/>
      <x:c r="K98" s="76" t="str"/>
      <x:c r="L98" s="76" t="str"/>
      <x:c r="M98" s="76" t="str">
        <x:v>AEQA-15</x:v>
      </x:c>
      <x:c r="N98" s="76" t="str">
        <x:v>10/Aug/26 8:32 PM</x:v>
      </x:c>
    </x:row>
    <x:row r="99" ht="26.399999618530273" hidden="0" customHeight="1">
      <x:c r="A99" s="76" t="str">
        <x:v>AEQA-95</x:v>
      </x:c>
      <x:c r="B99" s="76" t="str">
        <x:v>Sub-task</x:v>
      </x:c>
      <x:c r="C99" s="76" t="str">
        <x:v>Define the register-before-checkout end-to-end test flow</x:v>
      </x:c>
      <x:c r="D99" s="76" t="str">
        <x:v>Backlog</x:v>
      </x:c>
      <x:c r="E99" s="76" t="str">
        <x:v>Medium</x:v>
      </x:c>
      <x:c r="F99" s="76" t="str"/>
      <x:c r="G99" s="76" t="str"/>
      <x:c r="H99" s="76" t="str"/>
      <x:c r="I99" s="76" t="str"/>
      <x:c r="J99" s="76" t="str"/>
      <x:c r="K99" s="76" t="str"/>
      <x:c r="L99" s="76" t="str"/>
      <x:c r="M99" s="76" t="str">
        <x:v>AEQA-15</x:v>
      </x:c>
      <x:c r="N99" s="76" t="str">
        <x:v>10/Aug/26 8:32 PM</x:v>
      </x:c>
    </x:row>
    <x:row r="100" ht="15" hidden="0" customHeight="1">
      <x:c r="A100" s="76" t="str">
        <x:v>AEQA-96</x:v>
      </x:c>
      <x:c r="B100" s="76" t="str">
        <x:v>Sub-task</x:v>
      </x:c>
      <x:c r="C100" s="76" t="str">
        <x:v>Define the login-before-checkout end-to-end test flow</x:v>
      </x:c>
      <x:c r="D100" s="76" t="str">
        <x:v>Backlog</x:v>
      </x:c>
      <x:c r="E100" s="76" t="str">
        <x:v>Medium</x:v>
      </x:c>
      <x:c r="F100" s="76" t="str"/>
      <x:c r="G100" s="76" t="str"/>
      <x:c r="H100" s="76" t="str"/>
      <x:c r="I100" s="76" t="str"/>
      <x:c r="J100" s="76" t="str"/>
      <x:c r="K100" s="76" t="str"/>
      <x:c r="L100" s="76" t="str"/>
      <x:c r="M100" s="76" t="str">
        <x:v>AEQA-16</x:v>
      </x:c>
      <x:c r="N100" s="76" t="str">
        <x:v>10/Aug/26 8:32 PM</x:v>
      </x:c>
    </x:row>
    <x:row r="101" ht="26.399999618530273" hidden="0" customHeight="1">
      <x:c r="A101" s="76" t="str">
        <x:v>AEQA-97</x:v>
      </x:c>
      <x:c r="B101" s="76" t="str">
        <x:v>Sub-task</x:v>
      </x:c>
      <x:c r="C101" s="76" t="str">
        <x:v>Prepare test data and QA prerequisites for login and checkout</x:v>
      </x:c>
      <x:c r="D101" s="76" t="str">
        <x:v>Backlog</x:v>
      </x:c>
      <x:c r="E101" s="76" t="str">
        <x:v>Medium</x:v>
      </x:c>
      <x:c r="F101" s="76" t="str"/>
      <x:c r="G101" s="76" t="str"/>
      <x:c r="H101" s="76" t="str"/>
      <x:c r="I101" s="76" t="str"/>
      <x:c r="J101" s="76" t="str"/>
      <x:c r="K101" s="76" t="str"/>
      <x:c r="L101" s="76" t="str"/>
      <x:c r="M101" s="76" t="str">
        <x:v>AEQA-16</x:v>
      </x:c>
      <x:c r="N101" s="76" t="str">
        <x:v>10/Aug/26 8:32 PM</x:v>
      </x:c>
    </x:row>
    <x:row r="102" ht="26.399999618530273" hidden="0" customHeight="1">
      <x:c r="A102" s="76" t="str">
        <x:v>AEQA-98</x:v>
      </x:c>
      <x:c r="B102" s="76" t="str">
        <x:v>Sub-task</x:v>
      </x:c>
      <x:c r="C102" s="76" t="str">
        <x:v>Add assertions for successful login, checkout, and order completion</x:v>
      </x:c>
      <x:c r="D102" s="76" t="str">
        <x:v>Backlog</x:v>
      </x:c>
      <x:c r="E102" s="76" t="str">
        <x:v>Medium</x:v>
      </x:c>
      <x:c r="F102" s="76" t="str"/>
      <x:c r="G102" s="76" t="str"/>
      <x:c r="H102" s="76" t="str"/>
      <x:c r="I102" s="76" t="str"/>
      <x:c r="J102" s="76" t="str"/>
      <x:c r="K102" s="76" t="str"/>
      <x:c r="L102" s="76" t="str"/>
      <x:c r="M102" s="76" t="str">
        <x:v>AEQA-16</x:v>
      </x:c>
      <x:c r="N102" s="76" t="str">
        <x:v>10/Aug/26 8:32 PM</x:v>
      </x:c>
    </x:row>
    <x:row r="103" ht="26.399999618530273" hidden="0" customHeight="1">
      <x:c r="A103" s="76" t="str">
        <x:v>AEQA-99</x:v>
      </x:c>
      <x:c r="B103" s="76" t="str">
        <x:v>Sub-task</x:v>
      </x:c>
      <x:c r="C103" s="76" t="str">
        <x:v>Run and validate the new login-before-checkout test in QA</x:v>
      </x:c>
      <x:c r="D103" s="76" t="str">
        <x:v>Backlog</x:v>
      </x:c>
      <x:c r="E103" s="76" t="str">
        <x:v>Medium</x:v>
      </x:c>
      <x:c r="F103" s="76" t="str"/>
      <x:c r="G103" s="76" t="str"/>
      <x:c r="H103" s="76" t="str"/>
      <x:c r="I103" s="76" t="str"/>
      <x:c r="J103" s="76" t="str"/>
      <x:c r="K103" s="76" t="str"/>
      <x:c r="L103" s="76" t="str"/>
      <x:c r="M103" s="76" t="str">
        <x:v>AEQA-16</x:v>
      </x:c>
      <x:c r="N103" s="76" t="str">
        <x:v>10/Aug/26 8:32 PM</x:v>
      </x:c>
    </x:row>
    <x:row r="104" ht="26.399999618530273" hidden="0" customHeight="1">
      <x:c r="A104" s="76" t="str">
        <x:v>AEQA-100</x:v>
      </x:c>
      <x:c r="B104" s="76" t="str">
        <x:v>Sub-task</x:v>
      </x:c>
      <x:c r="C104" s="76" t="str">
        <x:v>Automate the login-before-checkout scenario in Playwright</x:v>
      </x:c>
      <x:c r="D104" s="76" t="str">
        <x:v>Backlog</x:v>
      </x:c>
      <x:c r="E104" s="76" t="str">
        <x:v>Medium</x:v>
      </x:c>
      <x:c r="F104" s="76" t="str"/>
      <x:c r="G104" s="76" t="str"/>
      <x:c r="H104" s="76" t="str"/>
      <x:c r="I104" s="76" t="str"/>
      <x:c r="J104" s="76" t="str"/>
      <x:c r="K104" s="76" t="str"/>
      <x:c r="L104" s="76" t="str"/>
      <x:c r="M104" s="76" t="str">
        <x:v>AEQA-16</x:v>
      </x:c>
      <x:c r="N104" s="76" t="str">
        <x:v>10/Aug/26 8:32 PM</x:v>
      </x:c>
    </x:row>
    <x:row r="105" ht="26.399999618530273" hidden="0" customHeight="1">
      <x:c r="A105" s="76" t="str">
        <x:v>AEQA-101</x:v>
      </x:c>
      <x:c r="B105" s="76" t="str">
        <x:v>Sub-task</x:v>
      </x:c>
      <x:c r="C105" s="76" t="str">
        <x:v>Prepare test data and QA prerequisites for checkout address validation</x:v>
      </x:c>
      <x:c r="D105" s="76" t="str">
        <x:v>Backlog</x:v>
      </x:c>
      <x:c r="E105" s="76" t="str">
        <x:v>Medium</x:v>
      </x:c>
      <x:c r="F105" s="76" t="str"/>
      <x:c r="G105" s="76" t="str"/>
      <x:c r="H105" s="76" t="str"/>
      <x:c r="I105" s="76" t="str"/>
      <x:c r="J105" s="76" t="str"/>
      <x:c r="K105" s="76" t="str"/>
      <x:c r="L105" s="76" t="str"/>
      <x:c r="M105" s="76" t="str">
        <x:v>AEQA-23</x:v>
      </x:c>
      <x:c r="N105" s="76" t="str">
        <x:v>10/Aug/26 8:33 PM</x:v>
      </x:c>
    </x:row>
    <x:row r="106" ht="26.399999618530273" hidden="0" customHeight="1">
      <x:c r="A106" s="76" t="str">
        <x:v>AEQA-102</x:v>
      </x:c>
      <x:c r="B106" s="76" t="str">
        <x:v>Sub-task</x:v>
      </x:c>
      <x:c r="C106" s="76" t="str">
        <x:v>Automate the checkout address verification scenario in Playwright</x:v>
      </x:c>
      <x:c r="D106" s="76" t="str">
        <x:v>Done</x:v>
      </x:c>
      <x:c r="E106" s="76" t="str">
        <x:v>Medium</x:v>
      </x:c>
      <x:c r="F106" s="76" t="str">
        <x:v>Kevin Mcmahon</x:v>
      </x:c>
      <x:c r="G106" s="76" t="str"/>
      <x:c r="H106" s="76" t="str"/>
      <x:c r="I106" s="76" t="str"/>
      <x:c r="J106" s="76" t="str"/>
      <x:c r="K106" s="76" t="str"/>
      <x:c r="L106" s="76" t="str"/>
      <x:c r="M106" s="76" t="str">
        <x:v>AEQA-23</x:v>
      </x:c>
      <x:c r="N106" s="76" t="str">
        <x:v>15/Aug/26 11:23 PM</x:v>
      </x:c>
    </x:row>
    <x:row r="107" ht="15" hidden="0" customHeight="1">
      <x:c r="A107" s="76" t="str">
        <x:v>AEQA-103</x:v>
      </x:c>
      <x:c r="B107" s="76" t="str">
        <x:v>Sub-task</x:v>
      </x:c>
      <x:c r="C107" s="76" t="str">
        <x:v>Define the checkout address verification test flow</x:v>
      </x:c>
      <x:c r="D107" s="76" t="str">
        <x:v>Backlog</x:v>
      </x:c>
      <x:c r="E107" s="76" t="str">
        <x:v>Medium</x:v>
      </x:c>
      <x:c r="F107" s="76" t="str"/>
      <x:c r="G107" s="76" t="str"/>
      <x:c r="H107" s="76" t="str"/>
      <x:c r="I107" s="76" t="str"/>
      <x:c r="J107" s="76" t="str"/>
      <x:c r="K107" s="76" t="str"/>
      <x:c r="L107" s="76" t="str"/>
      <x:c r="M107" s="76" t="str">
        <x:v>AEQA-23</x:v>
      </x:c>
      <x:c r="N107" s="76" t="str">
        <x:v>10/Aug/26 8:33 PM</x:v>
      </x:c>
    </x:row>
    <x:row r="108" ht="26.399999618530273" hidden="0" customHeight="1">
      <x:c r="A108" s="76" t="str">
        <x:v>AEQA-104</x:v>
      </x:c>
      <x:c r="B108" s="76" t="str">
        <x:v>Sub-task</x:v>
      </x:c>
      <x:c r="C108" s="76" t="str">
        <x:v>Run and validate the new checkout address verification test in QA</x:v>
      </x:c>
      <x:c r="D108" s="76" t="str">
        <x:v>Backlog</x:v>
      </x:c>
      <x:c r="E108" s="76" t="str">
        <x:v>Medium</x:v>
      </x:c>
      <x:c r="F108" s="76" t="str"/>
      <x:c r="G108" s="76" t="str"/>
      <x:c r="H108" s="76" t="str"/>
      <x:c r="I108" s="76" t="str"/>
      <x:c r="J108" s="76" t="str"/>
      <x:c r="K108" s="76" t="str"/>
      <x:c r="L108" s="76" t="str"/>
      <x:c r="M108" s="76" t="str">
        <x:v>AEQA-23</x:v>
      </x:c>
      <x:c r="N108" s="76" t="str">
        <x:v>10/Aug/26 8:33 PM</x:v>
      </x:c>
    </x:row>
    <x:row r="109" ht="26.399999618530273" hidden="0" customHeight="1">
      <x:c r="A109" s="76" t="str">
        <x:v>AEQA-105</x:v>
      </x:c>
      <x:c r="B109" s="76" t="str">
        <x:v>Sub-task</x:v>
      </x:c>
      <x:c r="C109" s="76" t="str">
        <x:v>Add assertions for billing and delivery address details on the checkout page</x:v>
      </x:c>
      <x:c r="D109" s="76" t="str">
        <x:v>Done</x:v>
      </x:c>
      <x:c r="E109" s="76" t="str">
        <x:v>Medium</x:v>
      </x:c>
      <x:c r="F109" s="76" t="str">
        <x:v>Kevin Mcmahon</x:v>
      </x:c>
      <x:c r="G109" s="76" t="str"/>
      <x:c r="H109" s="76" t="str"/>
      <x:c r="I109" s="76" t="str"/>
      <x:c r="J109" s="76" t="str"/>
      <x:c r="K109" s="76" t="str"/>
      <x:c r="L109" s="76" t="str"/>
      <x:c r="M109" s="76" t="str">
        <x:v>AEQA-23</x:v>
      </x:c>
      <x:c r="N109" s="76" t="str">
        <x:v>15/Aug/26 11:27 PM</x:v>
      </x:c>
    </x:row>
    <x:row r="110" ht="26.399999618530273" hidden="0" customHeight="1">
      <x:c r="A110" s="76" t="str">
        <x:v>AEQA-106</x:v>
      </x:c>
      <x:c r="B110" s="76" t="str">
        <x:v>Test Case</x:v>
      </x:c>
      <x:c r="C110" s="76" t="str">
        <x:v>AE-SIGNUP-006 - Verify the complete registration workflow including optional subscription selections</x:v>
      </x:c>
      <x:c r="D110" s="76" t="str">
        <x:v>Done</x:v>
      </x:c>
      <x:c r="E110" s="76" t="str">
        <x:v>Highest</x:v>
      </x:c>
      <x:c r="F110" s="76" t="str">
        <x:v>Kevin Mcmahon</x:v>
      </x:c>
      <x:c r="G110" s="76" t="str"/>
      <x:c r="H110" s="76" t="str">
        <x:v>AE-SIGNUP-006</x:v>
      </x:c>
      <x:c r="I110" s="76" t="str"/>
      <x:c r="J110" s="76" t="str">
        <x:v>Pass</x:v>
      </x:c>
      <x:c r="K110" s="76" t="str">
        <x:v>Manual</x:v>
      </x:c>
      <x:c r="L110" s="76" t="str">
        <x:v>AEQA-1</x:v>
      </x:c>
      <x:c r="M110" s="76"/>
      <x:c r="N110" s="76" t="str">
        <x:v>2026-08-17 13:22 EDT</x:v>
      </x:c>
    </x:row>
    <x:row r="111" ht="26.399999618530273" hidden="0" customHeight="1">
      <x:c r="A111" s="76" t="str">
        <x:v>AEQA-107</x:v>
      </x:c>
      <x:c r="B111" s="76" t="str">
        <x:v>Test Case</x:v>
      </x:c>
      <x:c r="C111" s="76" t="str">
        <x:v>AE-ORDER-001 - Verify an order can be placed after registering during checkout</x:v>
      </x:c>
      <x:c r="D111" s="76" t="str">
        <x:v>Done</x:v>
      </x:c>
      <x:c r="E111" s="76" t="str">
        <x:v>Highest</x:v>
      </x:c>
      <x:c r="F111" s="76" t="str">
        <x:v>Kevin Mcmahon</x:v>
      </x:c>
      <x:c r="G111" s="76" t="str"/>
      <x:c r="H111" s="76" t="str">
        <x:v>AE-ORDER-001</x:v>
      </x:c>
      <x:c r="I111" s="76" t="str"/>
      <x:c r="J111" s="76" t="str">
        <x:v>Pass</x:v>
      </x:c>
      <x:c r="K111" s="76" t="str">
        <x:v>Manual</x:v>
      </x:c>
      <x:c r="L111" s="76" t="str">
        <x:v>AEQA-14</x:v>
      </x:c>
      <x:c r="M111" s="76" t="str"/>
      <x:c r="N111" s="76" t="str">
        <x:v>2026-08-12 22:27 EDT</x:v>
      </x:c>
    </x:row>
    <x:row r="112" ht="26.399999618530273" hidden="0" customHeight="1">
      <x:c r="A112" s="76" t="str">
        <x:v>AEQA-108</x:v>
      </x:c>
      <x:c r="B112" s="76" t="str">
        <x:v>Test Case</x:v>
      </x:c>
      <x:c r="C112" s="76" t="str">
        <x:v>AE-ORDER-002 - Verify an order can be placed after registering before checkout</x:v>
      </x:c>
      <x:c r="D112" s="76" t="str">
        <x:v>Done</x:v>
      </x:c>
      <x:c r="E112" s="76" t="str">
        <x:v>Highest</x:v>
      </x:c>
      <x:c r="F112" s="76" t="str">
        <x:v>Kevin Mcmahon</x:v>
      </x:c>
      <x:c r="G112" s="76" t="str"/>
      <x:c r="H112" s="76" t="str">
        <x:v>AE-ORDER-002</x:v>
      </x:c>
      <x:c r="I112" s="76" t="str"/>
      <x:c r="J112" s="76" t="str">
        <x:v>Pass</x:v>
      </x:c>
      <x:c r="K112" s="76" t="str">
        <x:v>Manual</x:v>
      </x:c>
      <x:c r="L112" s="76" t="str">
        <x:v>AEQA-15</x:v>
      </x:c>
      <x:c r="M112" s="76"/>
      <x:c r="N112" s="76" t="str">
        <x:v>2026-08-12 22:28 EDT</x:v>
      </x:c>
    </x:row>
    <x:row r="113" ht="26.399999618530273" hidden="0" customHeight="1">
      <x:c r="A113" s="76" t="str">
        <x:v>AEQA-109</x:v>
      </x:c>
      <x:c r="B113" s="76" t="str">
        <x:v>Test Case</x:v>
      </x:c>
      <x:c r="C113" s="76" t="str">
        <x:v>AE-ORDER-003 - Verify an existing user can log in before checkout and place an order</x:v>
      </x:c>
      <x:c r="D113" s="76" t="str">
        <x:v>Done</x:v>
      </x:c>
      <x:c r="E113" s="76" t="str">
        <x:v>Highest</x:v>
      </x:c>
      <x:c r="F113" s="76" t="str">
        <x:v>Kevin Mcmahon</x:v>
      </x:c>
      <x:c r="G113" s="76" t="str"/>
      <x:c r="H113" s="76" t="str">
        <x:v>AE-ORDER-003</x:v>
      </x:c>
      <x:c r="I113" s="76" t="str"/>
      <x:c r="J113" s="76" t="str">
        <x:v>Pass</x:v>
      </x:c>
      <x:c r="K113" s="76" t="str">
        <x:v>Manual</x:v>
      </x:c>
      <x:c r="L113" s="76" t="str">
        <x:v>AEQA-16</x:v>
      </x:c>
      <x:c r="M113" s="76"/>
      <x:c r="N113" s="76" t="str">
        <x:v>2026-08-12 22:28 EDT</x:v>
      </x:c>
    </x:row>
    <x:row r="114" ht="26.399999618530273" hidden="0" customHeight="1">
      <x:c r="A114" s="76" t="str">
        <x:v>AEQA-110</x:v>
      </x:c>
      <x:c r="B114" s="76" t="str">
        <x:v>Test Case</x:v>
      </x:c>
      <x:c r="C114" s="76" t="str">
        <x:v>AE-CATALOG-001 - Verify category and subcategory navigation displays matching products</x:v>
      </x:c>
      <x:c r="D114" s="76" t="str">
        <x:v>Done</x:v>
      </x:c>
      <x:c r="E114" s="76" t="str">
        <x:v>High</x:v>
      </x:c>
      <x:c r="F114" s="76" t="str">
        <x:v>Kevin Mcmahon</x:v>
      </x:c>
      <x:c r="G114" s="76" t="str"/>
      <x:c r="H114" s="76" t="str">
        <x:v>AE-CATALOG-001</x:v>
      </x:c>
      <x:c r="I114" s="76" t="str"/>
      <x:c r="J114" s="76" t="str">
        <x:v>Pass</x:v>
      </x:c>
      <x:c r="K114" s="76" t="str">
        <x:v>Manual</x:v>
      </x:c>
      <x:c r="L114" s="76" t="str">
        <x:v>AEQA-18</x:v>
      </x:c>
      <x:c r="M114" s="76" t="str"/>
      <x:c r="N114" s="76" t="str">
        <x:v>16/Aug/26 12:46 AM</x:v>
      </x:c>
    </x:row>
    <x:row r="115" ht="26.399999618530273" hidden="0" customHeight="1">
      <x:c r="A115" s="76" t="str">
        <x:v>AEQA-111</x:v>
      </x:c>
      <x:c r="B115" s="76" t="str">
        <x:v>Test Case</x:v>
      </x:c>
      <x:c r="C115" s="76" t="str">
        <x:v>AE-CATALOG-002 - Verify brand navigation and switching displays products for the selected brand</x:v>
      </x:c>
      <x:c r="D115" s="76" t="str">
        <x:v>Backlog</x:v>
      </x:c>
      <x:c r="E115" s="76" t="str">
        <x:v>High</x:v>
      </x:c>
      <x:c r="F115" s="76" t="str">
        <x:v>Kevin Mcmahon</x:v>
      </x:c>
      <x:c r="G115" s="76" t="str"/>
      <x:c r="H115" s="76" t="str">
        <x:v>AE-CATALOG-002</x:v>
      </x:c>
      <x:c r="I115" s="76" t="str"/>
      <x:c r="J115" s="76" t="str">
        <x:v>Not Run</x:v>
      </x:c>
      <x:c r="K115" s="76" t="str">
        <x:v>Manual</x:v>
      </x:c>
      <x:c r="L115" s="76" t="str">
        <x:v>AEQA-19</x:v>
      </x:c>
      <x:c r="M115" s="76" t="str"/>
      <x:c r="N115" s="76" t="str">
        <x:v>2026-08-12 22:17 EDT</x:v>
      </x:c>
    </x:row>
    <x:row r="116" ht="26.399999618530273" hidden="0" customHeight="1">
      <x:c r="A116" s="76" t="str">
        <x:v>AEQA-112</x:v>
      </x:c>
      <x:c r="B116" s="76" t="str">
        <x:v>Test Case</x:v>
      </x:c>
      <x:c r="C116" s="76" t="str">
        <x:v>AE-CART-004 - Verify searched products remain in the cart after login</x:v>
      </x:c>
      <x:c r="D116" s="76" t="str">
        <x:v>Done</x:v>
      </x:c>
      <x:c r="E116" s="76" t="str">
        <x:v>Highest</x:v>
      </x:c>
      <x:c r="F116" s="76" t="str">
        <x:v>Kevin Mcmahon</x:v>
      </x:c>
      <x:c r="G116" s="76" t="str"/>
      <x:c r="H116" s="76" t="str">
        <x:v>AE-CART-004</x:v>
      </x:c>
      <x:c r="I116" s="76" t="str"/>
      <x:c r="J116" s="76" t="str">
        <x:v>Pass</x:v>
      </x:c>
      <x:c r="K116" s="76" t="str">
        <x:v>Manual</x:v>
      </x:c>
      <x:c r="L116" s="76" t="str">
        <x:v>AEQA-20</x:v>
      </x:c>
      <x:c r="M116" s="76"/>
      <x:c r="N116" s="76" t="str">
        <x:v>2026-08-17 19:22 EDT</x:v>
      </x:c>
    </x:row>
    <x:row r="117" ht="26.399999618530273" hidden="0" customHeight="1">
      <x:c r="A117" s="76" t="str">
        <x:v>AEQA-113</x:v>
      </x:c>
      <x:c r="B117" s="76" t="str">
        <x:v>Test Case</x:v>
      </x:c>
      <x:c r="C117" s="76" t="str">
        <x:v>AE-REVIEW-001 - Verify a visitor can submit a review from a product-details page</x:v>
      </x:c>
      <x:c r="D117" s="76" t="str">
        <x:v>Done</x:v>
      </x:c>
      <x:c r="E117" s="76" t="str">
        <x:v>Medium</x:v>
      </x:c>
      <x:c r="F117" s="76" t="str">
        <x:v>Kevin Mcmahon</x:v>
      </x:c>
      <x:c r="G117" s="76" t="str"/>
      <x:c r="H117" s="76" t="str">
        <x:v>AE-REVIEW-001</x:v>
      </x:c>
      <x:c r="I117" s="76" t="str"/>
      <x:c r="J117" s="76" t="str">
        <x:v>Pass</x:v>
      </x:c>
      <x:c r="K117" s="76" t="str">
        <x:v>Manual</x:v>
      </x:c>
      <x:c r="L117" s="76" t="str">
        <x:v>AEQA-21</x:v>
      </x:c>
      <x:c r="M117" s="76"/>
      <x:c r="N117" s="76" t="str">
        <x:v>2026-08-17 19:11 EDT</x:v>
      </x:c>
    </x:row>
    <x:row r="118" ht="26.399999618530273" hidden="0" customHeight="1">
      <x:c r="A118" s="76" t="str">
        <x:v>AEQA-114</x:v>
      </x:c>
      <x:c r="B118" s="76" t="str">
        <x:v>Test Case</x:v>
      </x:c>
      <x:c r="C118" s="76" t="str">
        <x:v>AE-CART-005 - Verify a product can be added to the cart from Recommended Items</x:v>
      </x:c>
      <x:c r="D118" s="76" t="str">
        <x:v>Done</x:v>
      </x:c>
      <x:c r="E118" s="76" t="str">
        <x:v>High</x:v>
      </x:c>
      <x:c r="F118" s="76" t="str">
        <x:v>Kevin Mcmahon</x:v>
      </x:c>
      <x:c r="G118" s="76" t="str"/>
      <x:c r="H118" s="76" t="str">
        <x:v>AE-CART-005</x:v>
      </x:c>
      <x:c r="I118" s="76" t="str"/>
      <x:c r="J118" s="76" t="str">
        <x:v>Pass</x:v>
      </x:c>
      <x:c r="K118" s="76" t="str">
        <x:v>Manual</x:v>
      </x:c>
      <x:c r="L118" s="76" t="str">
        <x:v>AEQA-22</x:v>
      </x:c>
      <x:c r="M118" s="76" t="str"/>
      <x:c r="N118" s="76" t="str">
        <x:v>2026-08-17</x:v>
      </x:c>
    </x:row>
    <x:row r="119" ht="26.399999618530273" hidden="0" customHeight="1">
      <x:c r="A119" s="76" t="str">
        <x:v>AEQA-115</x:v>
      </x:c>
      <x:c r="B119" s="76" t="str">
        <x:v>Test Case</x:v>
      </x:c>
      <x:c r="C119" s="76" t="str">
        <x:v>AE-ORDER-004 - Verify checkout delivery and billing addresses match the registered account</x:v>
      </x:c>
      <x:c r="D119" s="76" t="str">
        <x:v>Done</x:v>
      </x:c>
      <x:c r="E119" s="76" t="str">
        <x:v>Highest</x:v>
      </x:c>
      <x:c r="F119" s="76" t="str">
        <x:v>Kevin Mcmahon</x:v>
      </x:c>
      <x:c r="G119" s="76" t="str"/>
      <x:c r="H119" s="76" t="str">
        <x:v>AE-ORDER-004</x:v>
      </x:c>
      <x:c r="I119" s="76" t="str"/>
      <x:c r="J119" s="76" t="str">
        <x:v>Pass</x:v>
      </x:c>
      <x:c r="K119" s="76" t="str">
        <x:v>Manual</x:v>
      </x:c>
      <x:c r="L119" s="76" t="str">
        <x:v>AEQA-23</x:v>
      </x:c>
      <x:c r="M119" s="76" t="str"/>
      <x:c r="N119" s="76" t="str">
        <x:v>15/Aug/26 11:14 PM</x:v>
      </x:c>
    </x:row>
    <x:row r="120" ht="26.399999618530273" hidden="0" customHeight="1">
      <x:c r="A120" s="76" t="str">
        <x:v>AEQA-116</x:v>
      </x:c>
      <x:c r="B120" s="76" t="str">
        <x:v>Test Case</x:v>
      </x:c>
      <x:c r="C120" s="76" t="str">
        <x:v>AE-ORDER-005 - Verify an invoice can be downloaded after a successful purchase</x:v>
      </x:c>
      <x:c r="D120" s="76" t="str">
        <x:v>Done</x:v>
      </x:c>
      <x:c r="E120" s="76" t="str">
        <x:v>High</x:v>
      </x:c>
      <x:c r="F120" s="76" t="str">
        <x:v>Kevin Mcmahon</x:v>
      </x:c>
      <x:c r="G120" s="76" t="str"/>
      <x:c r="H120" s="76" t="str">
        <x:v>AE-ORDER-005</x:v>
      </x:c>
      <x:c r="I120" s="76" t="str"/>
      <x:c r="J120" s="76" t="str">
        <x:v>Pass</x:v>
      </x:c>
      <x:c r="K120" s="76" t="str">
        <x:v>Manual</x:v>
      </x:c>
      <x:c r="L120" s="76" t="str">
        <x:v>AEQA-24</x:v>
      </x:c>
      <x:c r="M120" s="76" t="str"/>
      <x:c r="N120" s="76" t="str">
        <x:v>2026-08-17</x:v>
      </x:c>
    </x:row>
    <x:row r="121" ht="26.399999618530273" hidden="0" customHeight="1">
      <x:c r="A121" s="76" t="str">
        <x:v>AEQA-117</x:v>
      </x:c>
      <x:c r="B121" s="76" t="str">
        <x:v>Test Case</x:v>
      </x:c>
      <x:c r="C121" s="76" t="str">
        <x:v>AE-NAV-002 - Verify scrolling down and returning to the top with the arrow button</x:v>
      </x:c>
      <x:c r="D121" s="76" t="str">
        <x:v>Done</x:v>
      </x:c>
      <x:c r="E121" s="76" t="str">
        <x:v>Medium</x:v>
      </x:c>
      <x:c r="F121" s="76" t="str">
        <x:v>Kevin Mcmahon</x:v>
      </x:c>
      <x:c r="G121" s="76" t="str"/>
      <x:c r="H121" s="76" t="str">
        <x:v>AE-NAV-002</x:v>
      </x:c>
      <x:c r="I121" s="76" t="str"/>
      <x:c r="J121" s="76" t="str">
        <x:v>Pass</x:v>
      </x:c>
      <x:c r="K121" s="76" t="str">
        <x:v>Manual</x:v>
      </x:c>
      <x:c r="L121" s="76" t="str">
        <x:v>AEQA-25</x:v>
      </x:c>
      <x:c r="M121" s="76" t="str"/>
      <x:c r="N121" s="76" t="str">
        <x:v>2026-08-17</x:v>
      </x:c>
    </x:row>
    <x:row r="122" ht="26.399999618530273" hidden="0" customHeight="1">
      <x:c r="A122" s="76" t="str">
        <x:v>AEQA-118</x:v>
      </x:c>
      <x:c r="B122" s="76" t="str">
        <x:v>Test Case</x:v>
      </x:c>
      <x:c r="C122" s="76" t="str">
        <x:v>AE-NAV-003 - Verify manual scrolling down and back to the top without the arrow button</x:v>
      </x:c>
      <x:c r="D122" s="76" t="str">
        <x:v>Done</x:v>
      </x:c>
      <x:c r="E122" s="76" t="str">
        <x:v>Medium</x:v>
      </x:c>
      <x:c r="F122" s="76" t="str">
        <x:v>Kevin Mcmahon</x:v>
      </x:c>
      <x:c r="G122" s="76" t="str"/>
      <x:c r="H122" s="76" t="str">
        <x:v>AE-NAV-003</x:v>
      </x:c>
      <x:c r="I122" s="76" t="str"/>
      <x:c r="J122" s="76" t="str">
        <x:v>Pass</x:v>
      </x:c>
      <x:c r="K122" s="76" t="str">
        <x:v>Manual</x:v>
      </x:c>
      <x:c r="L122" s="76" t="str">
        <x:v>AEQA-26</x:v>
      </x:c>
      <x:c r="M122" s="76" t="str"/>
      <x:c r="N122" s="76" t="str">
        <x:v>2026-08-17</x:v>
      </x:c>
    </x:row>
    <x:row r="123" ht="26.399999618530273" hidden="0" customHeight="1">
      <x:c r="A123" t="str">
        <x:v>AEQA-119</x:v>
      </x:c>
      <x:c r="B123" t="str">
        <x:v>Requirement</x:v>
      </x:c>
      <x:c r="C123" s="60" t="str">
        <x:v>QA-ADMIN-001 - Validate manual Requirement form workflow</x:v>
      </x:c>
      <x:c r="D123" s="60" t="str">
        <x:v>Done</x:v>
      </x:c>
      <x:c r="E123" s="60" t="str">
        <x:v>Medium</x:v>
      </x:c>
      <x:c r="F123" s="60"/>
      <x:c r="G123" s="60" t="str">
        <x:v>QA-ADMIN-001</x:v>
      </x:c>
      <x:c r="H123" s="60"/>
      <x:c r="I123" s="60"/>
      <x:c r="J123" s="60"/>
      <x:c r="K123" s="60"/>
      <x:c r="L123" s="60"/>
      <x:c r="M123" s="60"/>
      <x:c r="N123" s="60" t="str">
        <x:v>12/Aug/26 9:18 PM</x:v>
      </x:c>
    </x:row>
    <x:row r="124" ht="26.399999618530273" hidden="0" customHeight="1">
      <x:c r="A124" t="str">
        <x:v>AEQA-120</x:v>
      </x:c>
      <x:c r="B124" t="str">
        <x:v>Task</x:v>
      </x:c>
      <x:c r="C124" s="60" t="str">
        <x:v>QA Maintenance - Reconcile and re-upload missing execution evidence</x:v>
      </x:c>
      <x:c r="D124" s="60" t="str">
        <x:v>Backlog</x:v>
      </x:c>
      <x:c r="E124" s="60" t="str">
        <x:v>High</x:v>
      </x:c>
      <x:c r="F124" s="60" t="str">
        <x:v>Kevin Mcmahon</x:v>
      </x:c>
      <x:c r="G124" s="60"/>
      <x:c r="H124" s="60"/>
      <x:c r="I124" s="60"/>
      <x:c r="J124" s="60"/>
      <x:c r="K124" s="60"/>
      <x:c r="L124" s="60"/>
      <x:c r="M124" s="60"/>
      <x:c r="N124" s="60" t="str">
        <x:v>12/Aug/26 10:27 PM</x:v>
      </x:c>
    </x:row>
    <x:row r="125" ht="26.399999618530273" hidden="0" customHeight="1">
      <x:c r="A125" t="str">
        <x:v>AEQA-121</x:v>
      </x:c>
      <x:c r="B125" t="str">
        <x:v>Sub-task</x:v>
      </x:c>
      <x:c r="C125" s="60" t="str">
        <x:v>Automate end-to-end user registration with Playwright</x:v>
      </x:c>
      <x:c r="D125" s="60" t="str">
        <x:v>Done</x:v>
      </x:c>
      <x:c r="E125" s="60" t="str">
        <x:v>Highest</x:v>
      </x:c>
      <x:c r="F125" s="60" t="str">
        <x:v>Kevin Mcmahon</x:v>
      </x:c>
      <x:c r="G125" s="60" t="str">
        <x:v>REQ-AUTH-001</x:v>
      </x:c>
      <x:c r="H125" s="60" t="str"/>
      <x:c r="I125" s="60" t="str"/>
      <x:c r="J125" s="60" t="str">
        <x:v>Not Run</x:v>
      </x:c>
      <x:c r="K125" s="60" t="str">
        <x:v>Playwright</x:v>
      </x:c>
      <x:c r="L125" s="60" t="str"/>
      <x:c r="M125" s="60" t="str">
        <x:v>AEQA-1</x:v>
      </x:c>
      <x:c r="N125" s="60" t="str">
        <x:v>2026-08-16 23:42 EDT</x:v>
      </x:c>
    </x:row>
    <x:row r="126" ht="26.399999618530273" hidden="0" customHeight="1">
      <x:c r="A126" t="str">
        <x:v>AEQA-122</x:v>
      </x:c>
      <x:c r="B126" t="str">
        <x:v>Sub-task</x:v>
      </x:c>
      <x:c r="C126" s="60" t="str">
        <x:v>Automate the search and cart persistence scenario in Playwright</x:v>
      </x:c>
      <x:c r="D126" s="60" t="str">
        <x:v>Done</x:v>
      </x:c>
      <x:c r="E126" s="60" t="str">
        <x:v>Medium</x:v>
      </x:c>
      <x:c r="F126" s="60" t="str">
        <x:v>Kevin Mcmahon</x:v>
      </x:c>
      <x:c r="G126" s="60" t="str">
        <x:v>REQ-CART-004</x:v>
      </x:c>
      <x:c r="H126" s="60" t="str"/>
      <x:c r="I126" s="60" t="str"/>
      <x:c r="J126" s="60" t="str">
        <x:v>Pass</x:v>
      </x:c>
      <x:c r="K126" s="60" t="str">
        <x:v>Playwright</x:v>
      </x:c>
      <x:c r="L126" s="60" t="str"/>
      <x:c r="M126" s="60" t="str">
        <x:v>AEQA-20</x:v>
      </x:c>
      <x:c r="N126" s="60" t="str">
        <x:v>2026-08-17 13:03 EDT</x:v>
      </x:c>
    </x:row>
    <x:row r="127" ht="26.399999618530273" hidden="0" customHeight="1">
      <x:c r="A127" t="str">
        <x:v>AEQA-123</x:v>
      </x:c>
      <x:c r="B127" t="str">
        <x:v>Sub-task</x:v>
      </x:c>
      <x:c r="C127" s="60" t="str">
        <x:v>Automate brand-based product navigation in Playwright</x:v>
      </x:c>
      <x:c r="D127" s="60" t="str">
        <x:v>Backlog</x:v>
      </x:c>
      <x:c r="E127" s="60" t="str">
        <x:v>Medium</x:v>
      </x:c>
      <x:c r="F127" s="60" t="str"/>
      <x:c r="G127" s="60" t="str">
        <x:v>REQ-CATALOG-002</x:v>
      </x:c>
      <x:c r="H127" s="60" t="str"/>
      <x:c r="I127" s="60" t="str"/>
      <x:c r="J127" s="60" t="str">
        <x:v>Not Run</x:v>
      </x:c>
      <x:c r="K127" s="60" t="str">
        <x:v>Playwright</x:v>
      </x:c>
      <x:c r="L127" s="60" t="str"/>
      <x:c r="M127" s="60" t="str">
        <x:v>AEQA-19</x:v>
      </x:c>
      <x:c r="N127" s="60" t="str">
        <x:v>2026-08-17 15:14 EDT</x:v>
      </x:c>
    </x:row>
    <x:row r="128" ht="26.399999618530273" hidden="0" customHeight="1">
      <x:c r="A128" t="str">
        <x:v>AEQA-124</x:v>
      </x:c>
      <x:c r="B128" t="str">
        <x:v>Test Case</x:v>
      </x:c>
      <x:c r="C128" s="60" t="str">
        <x:v>AE-AUTO-REVIEW-001 - Automate product review submission in Playwright</x:v>
      </x:c>
      <x:c r="D128" s="60" t="str">
        <x:v>Done</x:v>
      </x:c>
      <x:c r="E128" s="60" t="str">
        <x:v>Medium</x:v>
      </x:c>
      <x:c r="F128" s="60" t="str">
        <x:v>Kevin Mcmahon</x:v>
      </x:c>
      <x:c r="G128" s="60" t="str"/>
      <x:c r="H128" s="60" t="str">
        <x:v>AE-AUTO-REVIEW-001</x:v>
      </x:c>
      <x:c r="I128" s="60" t="str"/>
      <x:c r="J128" s="60" t="str">
        <x:v>Pass</x:v>
      </x:c>
      <x:c r="K128" s="60" t="str">
        <x:v>Playwright</x:v>
      </x:c>
      <x:c r="L128" s="60" t="str">
        <x:v>AEQA-21</x:v>
      </x:c>
      <x:c r="M128" s="60"/>
      <x:c r="N128" s="60" t="str">
        <x:v>2026-08-17 19:11 EDT</x:v>
      </x:c>
    </x:row>
    <x:row r="129" ht="26.399999618530273" hidden="0" customHeight="1">
      <x:c r="A129" t="str">
        <x:v>AEQA-125</x:v>
      </x:c>
      <x:c r="B129" t="str">
        <x:v>Test Case</x:v>
      </x:c>
      <x:c r="C129" s="60" t="str">
        <x:v>AE-AUTO-CART-005 - Automate Recommended Items add-to-cart in Playwright</x:v>
      </x:c>
      <x:c r="D129" s="60" t="str">
        <x:v>Done</x:v>
      </x:c>
      <x:c r="E129" s="60" t="str">
        <x:v>High</x:v>
      </x:c>
      <x:c r="F129" s="60" t="str">
        <x:v>Kevin Mcmahon</x:v>
      </x:c>
      <x:c r="G129" s="60"/>
      <x:c r="H129" s="60" t="str">
        <x:v>AE-AUTO-CART-005</x:v>
      </x:c>
      <x:c r="I129" s="60"/>
      <x:c r="J129" s="60" t="str">
        <x:v>Pass</x:v>
      </x:c>
      <x:c r="K129" s="60" t="str">
        <x:v>Automated</x:v>
      </x:c>
      <x:c r="L129" s="60" t="str">
        <x:v>AEQA-22</x:v>
      </x:c>
      <x:c r="M129" s="60"/>
      <x:c r="N129" s="60" t="str">
        <x:v>2026-08-17</x:v>
      </x:c>
    </x:row>
    <x:row r="130" ht="26.399999618530273" hidden="0" customHeight="1">
      <x:c r="A130" t="str">
        <x:v>AEQA-126</x:v>
      </x:c>
      <x:c r="B130" t="str">
        <x:v>Test Case</x:v>
      </x:c>
      <x:c r="C130" s="60" t="str">
        <x:v>AE-AUTO-ORDER-005 - Automate invoice download after purchase in Playwright</x:v>
      </x:c>
      <x:c r="D130" s="60" t="str">
        <x:v>Done</x:v>
      </x:c>
      <x:c r="E130" s="60" t="str">
        <x:v>High</x:v>
      </x:c>
      <x:c r="F130" s="60" t="str">
        <x:v>Kevin Mcmahon</x:v>
      </x:c>
      <x:c r="G130" s="60"/>
      <x:c r="H130" s="60" t="str">
        <x:v>AE-AUTO-ORDER-005</x:v>
      </x:c>
      <x:c r="I130" s="60"/>
      <x:c r="J130" s="60" t="str">
        <x:v>Pass</x:v>
      </x:c>
      <x:c r="K130" s="60" t="str">
        <x:v>Automated</x:v>
      </x:c>
      <x:c r="L130" s="60" t="str">
        <x:v>AEQA-24</x:v>
      </x:c>
      <x:c r="M130" s="60"/>
      <x:c r="N130" s="60" t="str">
        <x:v>2026-08-17</x:v>
      </x:c>
    </x:row>
    <x:row r="131" ht="26.399999618530273" hidden="0" customHeight="1">
      <x:c r="A131" t="str">
        <x:v>AEQA-127</x:v>
      </x:c>
      <x:c r="B131" t="str">
        <x:v>Test Case</x:v>
      </x:c>
      <x:c r="C131" s="60" t="str">
        <x:v>AE-AUTO-NAV-002 - Automate scroll-down and arrow return-to-top in Playwright</x:v>
      </x:c>
      <x:c r="D131" s="60" t="str">
        <x:v>Done</x:v>
      </x:c>
      <x:c r="E131" s="60" t="str">
        <x:v>Medium</x:v>
      </x:c>
      <x:c r="F131" s="60" t="str">
        <x:v>Kevin Mcmahon</x:v>
      </x:c>
      <x:c r="G131" s="60"/>
      <x:c r="H131" s="60" t="str">
        <x:v>AE-AUTO-NAV-002</x:v>
      </x:c>
      <x:c r="I131" s="60"/>
      <x:c r="J131" s="60" t="str">
        <x:v>Pass</x:v>
      </x:c>
      <x:c r="K131" s="60" t="str">
        <x:v>Automated</x:v>
      </x:c>
      <x:c r="L131" s="60" t="str">
        <x:v>AEQA-25</x:v>
      </x:c>
      <x:c r="M131" s="60"/>
      <x:c r="N131" s="60" t="str">
        <x:v>2026-08-17</x:v>
      </x:c>
    </x:row>
    <x:row r="132" ht="26.399999618530273" hidden="0" customHeight="1">
      <x:c r="A132" t="str">
        <x:v>AEQA-128</x:v>
      </x:c>
      <x:c r="B132" t="str">
        <x:v>Test Case</x:v>
      </x:c>
      <x:c r="C132" s="60" t="str">
        <x:v>AE-AUTO-NAV-003 - Automate scroll-down and scroll-up without the arrow in Playwright</x:v>
      </x:c>
      <x:c r="D132" s="60" t="str">
        <x:v>In Progress</x:v>
      </x:c>
      <x:c r="E132" s="60" t="str">
        <x:v>Medium</x:v>
      </x:c>
      <x:c r="F132" s="60" t="str">
        <x:v>Kevin Mcmahon</x:v>
      </x:c>
      <x:c r="G132" s="60"/>
      <x:c r="H132" s="60" t="str">
        <x:v>AE-AUTO-NAV-003</x:v>
      </x:c>
      <x:c r="I132" s="60"/>
      <x:c r="J132" s="60" t="str">
        <x:v>Not Run</x:v>
      </x:c>
      <x:c r="K132" s="60" t="str">
        <x:v>Automation Candidate</x:v>
      </x:c>
      <x:c r="L132" s="60" t="str">
        <x:v>AEQA-26</x:v>
      </x:c>
      <x:c r="M132" s="60"/>
      <x:c r="N132" s="60" t="str">
        <x:v>2026-08-17</x:v>
      </x:c>
    </x:row>
  </x:sheetData>
  <x:mergeCells>
    <x:mergeCell ref="A1:N1"/>
    <x:mergeCell ref="A2:N2"/>
  </x:mergeCells>
  <x:conditionalFormatting sqref="D5:D122">
    <x:cfRule type="containsText" dxfId="86" priority="1" operator="containsText" text="Done"/>
  </x:conditionalFormatting>
  <x:conditionalFormatting sqref="J5:J122">
    <x:cfRule type="containsText" dxfId="87" priority="2" operator="containsText" text="Passed"/>
    <x:cfRule type="containsText" dxfId="88" priority="3" operator="containsText" text="Failed"/>
    <x:cfRule type="containsText" dxfId="89" priority="4" operator="containsText" text="Not Run"/>
  </x:conditionalFormatting>
  <x:pageMargins left="0.7" right="0.7" top="0.75" bottom="0.75" header="0.3" footer="0.3"/>
  <x:tableParts count="1">
    <x:tablePart xmlns:r="http://schemas.openxmlformats.org/officeDocument/2006/relationships" r:id="R5c4b47c8de0c48a3"/>
  </x:tableParts>
</x:worksheet>
</file>