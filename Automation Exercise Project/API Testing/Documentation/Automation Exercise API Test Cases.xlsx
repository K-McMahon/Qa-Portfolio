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d737f361394c47" /></Relationships>
</file>

<file path=xl/workbook.xml><?xml version="1.0" encoding="utf-8"?>
<x:workbook xmlns:x="http://schemas.openxmlformats.org/spreadsheetml/2006/main">
  <x:sheets>
    <x:sheet xmlns:r="http://schemas.openxmlformats.org/officeDocument/2006/relationships" name="Overview" sheetId="1" r:id="Ra068fe473d484525"/>
    <x:sheet xmlns:r="http://schemas.openxmlformats.org/officeDocument/2006/relationships" name="API Test Cases" sheetId="2" r:id="Racbf0e98ca4d4419"/>
    <x:sheet xmlns:r="http://schemas.openxmlformats.org/officeDocument/2006/relationships" name="Instructions" sheetId="3" r:id="R27961b58190440a5"/>
    <x:sheet xmlns:r="http://schemas.openxmlformats.org/officeDocument/2006/relationships" name="Lists" sheetId="4" r:id="R1863b52dad494ecb"/>
    <x:sheet xmlns:r="http://schemas.openxmlformats.org/officeDocument/2006/relationships" name="Execution Summary" sheetId="5" r:id="Rff60f87b119d43fa"/>
  </x:sheets>
</x:workbook>
</file>

<file path=xl/sharedStrings.xml><?xml version="1.0" encoding="utf-8"?>
<x:sst xmlns:x="http://schemas.openxmlformats.org/spreadsheetml/2006/main">
  <x:si>
    <x:t xml:space="preserve">Automation Exercise — API Test Execution Overview</x:t>
  </x:si>
  <x:si>
    <x:t xml:space="preserve">Total API Cases</x:t>
  </x:si>
  <x:si>
    <x:t xml:space="preserve">Passed</x:t>
  </x:si>
  <x:si>
    <x:t xml:space="preserve">Failed</x:t>
  </x:si>
  <x:si>
    <x:t xml:space="preserve">Not Run</x:t>
  </x:si>
  <x:si>
    <x:t xml:space="preserve">Module</x:t>
  </x:si>
  <x:si>
    <x:t xml:space="preserve">Total</x:t>
  </x:si>
  <x:si>
    <x:t xml:space="preserve">Remaining</x:t>
  </x:si>
  <x:si>
    <x:t xml:space="preserve">Execution Guidance</x:t>
  </x:si>
  <x:si>
    <x:t xml:space="preserve">Products</x:t>
  </x:si>
  <x:si>
    <x:t xml:space="preserve">Brands</x:t>
  </x:si>
  <x:si>
    <x:t xml:space="preserve">Product Search</x:t>
  </x:si>
  <x:si>
    <x:t xml:space="preserve">Authentication</x:t>
  </x:si>
  <x:si>
    <x:t xml:space="preserve">Account Management</x:t>
  </x:si>
  <x:si>
    <x:t xml:space="preserve">Automation Exercise — API Test Cases</x:t>
  </x:si>
  <x:si>
    <x:t xml:space="preserve">Execution standard: record both the HTTP status and any responseCode inside the JSON. Use objective language for Actual Response and link sanitized evidence for every executed case.</x:t>
  </x:si>
  <x:si>
    <x:t xml:space="preserve">Evidence naming: &lt;Test Case ID&gt;.png  |  Defect naming: BUG-API-###  |  Credentials remain in Postman secret variables only.</x:t>
  </x:si>
  <x:si>
    <x:t xml:space="preserve">Test Case ID</x:t>
  </x:si>
  <x:si>
    <x:t xml:space="preserve">Requirement ID</x:t>
  </x:si>
  <x:si>
    <x:t xml:space="preserve">Test Type</x:t>
  </x:si>
  <x:si>
    <x:t xml:space="preserve">Priority</x:t>
  </x:si>
  <x:si>
    <x:t xml:space="preserve">Title / Objective</x:t>
  </x:si>
  <x:si>
    <x:t xml:space="preserve">Method</x:t>
  </x:si>
  <x:si>
    <x:t xml:space="preserve">Endpoint</x:t>
  </x:si>
  <x:si>
    <x:t xml:space="preserve">Headers</x:t>
  </x:si>
  <x:si>
    <x:t xml:space="preserve">Parameters / Body</x:t>
  </x:si>
  <x:si>
    <x:t xml:space="preserve">Preconditions</x:t>
  </x:si>
  <x:si>
    <x:t xml:space="preserve">Test Steps</x:t>
  </x:si>
  <x:si>
    <x:t xml:space="preserve">Expected HTTP Status</x:t>
  </x:si>
  <x:si>
    <x:t xml:space="preserve">Expected Response</x:t>
  </x:si>
  <x:si>
    <x:t xml:space="preserve">Actual HTTP Status</x:t>
  </x:si>
  <x:si>
    <x:t xml:space="preserve">Actual Response</x:t>
  </x:si>
  <x:si>
    <x:t xml:space="preserve">Response Time (ms)</x:t>
  </x:si>
  <x:si>
    <x:t xml:space="preserve">Status</x:t>
  </x:si>
  <x:si>
    <x:t xml:space="preserve">Executed By</x:t>
  </x:si>
  <x:si>
    <x:t xml:space="preserve">Execution Date</x:t>
  </x:si>
  <x:si>
    <x:t xml:space="preserve">Evidence / Screenshot</x:t>
  </x:si>
  <x:si>
    <x:t xml:space="preserve">Defect ID</x:t>
  </x:si>
  <x:si>
    <x:t xml:space="preserve">Notes</x:t>
  </x:si>
  <x:si>
    <x:t xml:space="preserve">API-PRODUCT-001</x:t>
  </x:si>
  <x:si>
    <x:t xml:space="preserve">REQ-API-001</x:t>
  </x:si>
  <x:si>
    <x:t xml:space="preserve">API — Positive</x:t>
  </x:si>
  <x:si>
    <x:t xml:space="preserve">High</x:t>
  </x:si>
  <x:si>
    <x:t xml:space="preserve">Verify retrieval of the complete products list</x:t>
  </x:si>
  <x:si>
    <x:t xml:space="preserve">GET</x:t>
  </x:si>
  <x:si>
    <x:t xml:space="preserve">{{base_url}}/productsList</x:t>
  </x:si>
  <x:si>
    <x:t xml:space="preserve">None</x:t>
  </x:si>
  <x:si>
    <x:t xml:space="preserve">1. Automation Exercise QA environment is selected.
2. base_url is configured.
3. API service is available.</x:t>
  </x:si>
  <x:si>
    <x:t xml:space="preserve">1. Open API-PRODUCT-001 in Postman.
2. Confirm GET and {{base_url}}/productsList.
3. Click Send.
4. Verify the HTTP status.
5. Verify responseCode and products in the JSON body.</x:t>
  </x:si>
  <x:si>
    <x:t xml:space="preserve">API-PRODUCT-002</x:t>
  </x:si>
  <x:si>
    <x:t xml:space="preserve">REQ-API-002</x:t>
  </x:si>
  <x:si>
    <x:t xml:space="preserve">API — Negative</x:t>
  </x:si>
  <x:si>
    <x:t xml:space="preserve">Medium</x:t>
  </x:si>
  <x:si>
    <x:t xml:space="preserve">Verify POST is rejected for the products-list endpoint</x:t>
  </x:si>
  <x:si>
    <x:t xml:space="preserve">POST</x:t>
  </x:si>
  <x:si>
    <x:t xml:space="preserve">Automation Exercise QA environment is selected and the API is available.</x:t>
  </x:si>
  <x:si>
    <x:t xml:space="preserve">1. Open the request.
2. Confirm POST.
3. Click Send.
4. Compare the response with the expected method-not-supported response.</x:t>
  </x:si>
  <x:si>
    <x:t xml:space="preserve">API-BRAND-001</x:t>
  </x:si>
  <x:si>
    <x:t xml:space="preserve">REQ-API-003</x:t>
  </x:si>
  <x:si>
    <x:t xml:space="preserve">Verify retrieval of the complete brands list</x:t>
  </x:si>
  <x:si>
    <x:t xml:space="preserve">{{base_url}}/brandsList</x:t>
  </x:si>
  <x:si>
    <x:t xml:space="preserve">1. Open the request.
2. Confirm GET.
3. Click Send.
4. Verify the status and brands list.</x:t>
  </x:si>
  <x:si>
    <x:t xml:space="preserve">API-BRAND-002</x:t>
  </x:si>
  <x:si>
    <x:t xml:space="preserve">REQ-API-004</x:t>
  </x:si>
  <x:si>
    <x:t xml:space="preserve">Verify PUT is rejected for the brands-list endpoint</x:t>
  </x:si>
  <x:si>
    <x:t xml:space="preserve">PUT</x:t>
  </x:si>
  <x:si>
    <x:t xml:space="preserve">1. Open the request.
2. Confirm PUT.
3. Click Send.
4. Verify the method-not-supported response.</x:t>
  </x:si>
  <x:si>
    <x:t xml:space="preserve">API-SEARCH-001</x:t>
  </x:si>
  <x:si>
    <x:t xml:space="preserve">REQ-API-005</x:t>
  </x:si>
  <x:si>
    <x:t xml:space="preserve">Verify products can be searched using a valid search_product value</x:t>
  </x:si>
  <x:si>
    <x:t xml:space="preserve">{{base_url}}/searchProduct</x:t>
  </x:si>
  <x:si>
    <x:t xml:space="preserve">Content-Type: application/x-www-form-urlencoded</x:t>
  </x:si>
  <x:si>
    <x:t xml:space="preserve">search_product=top</x:t>
  </x:si>
  <x:si>
    <x:t xml:space="preserve">1. Open the request.
2. Confirm POST and search_product data.
3. Click Send.
4. Verify status and searched products.</x:t>
  </x:si>
  <x:si>
    <x:t xml:space="preserve">API-SEARCH-002</x:t>
  </x:si>
  <x:si>
    <x:t xml:space="preserve">REQ-API-006</x:t>
  </x:si>
  <x:si>
    <x:t xml:space="preserve">Verify search validation when search_product value is omitted</x:t>
  </x:si>
  <x:si>
    <x:t xml:space="preserve">Parameter intentionally omitted</x:t>
  </x:si>
  <x:si>
    <x:t xml:space="preserve">1. Open the request.
2. Confirm search_product is absent.
3. Click Send.
4. Verify the missing-parameter response.</x:t>
  </x:si>
  <x:si>
    <x:t xml:space="preserve">API-AUTH-001</x:t>
  </x:si>
  <x:si>
    <x:t xml:space="preserve">REQ-API-007</x:t>
  </x:si>
  <x:si>
    <x:t xml:space="preserve">Critical</x:t>
  </x:si>
  <x:si>
    <x:t xml:space="preserve">Verify login API with valid credentials</x:t>
  </x:si>
  <x:si>
    <x:t xml:space="preserve">{{base_url}}/verifyLogin</x:t>
  </x:si>
  <x:si>
    <x:t xml:space="preserve">email={{valid_email}}; password={{valid_password}}</x:t>
  </x:si>
  <x:si>
    <x:t xml:space="preserve">A valid dedicated QA account exists and environment credentials are configured.</x:t>
  </x:si>
  <x:si>
    <x:t xml:space="preserve">1. Open the request.
2. Confirm valid email and password variables.
3. Click Send.
4. Verify status and User exists message.</x:t>
  </x:si>
  <x:si>
    <x:t xml:space="preserve">API-AUTH-002</x:t>
  </x:si>
  <x:si>
    <x:t xml:space="preserve">REQ-API-008</x:t>
  </x:si>
  <x:si>
    <x:t xml:space="preserve">Verify login validation when email is omitted</x:t>
  </x:si>
  <x:si>
    <x:t xml:space="preserve">password={{valid_password}}; email omitted</x:t>
  </x:si>
  <x:si>
    <x:t xml:space="preserve">Environment is selected and a safe password variable is configured.</x:t>
  </x:si>
  <x:si>
    <x:t xml:space="preserve">1. Open the request.
2. Confirm email is absent.
3. Click Send.
4. Verify the missing-parameter response.</x:t>
  </x:si>
  <x:si>
    <x:t xml:space="preserve">API-AUTH-003</x:t>
  </x:si>
  <x:si>
    <x:t xml:space="preserve">REQ-API-009</x:t>
  </x:si>
  <x:si>
    <x:t xml:space="preserve">Verify DELETE is rejected for the login-verification endpoint</x:t>
  </x:si>
  <x:si>
    <x:t xml:space="preserve">DELETE</x:t>
  </x:si>
  <x:si>
    <x:t xml:space="preserve">1. Open the request.
2. Confirm DELETE.
3. Click Send.
4. Verify the method-not-supported response.</x:t>
  </x:si>
  <x:si>
    <x:t xml:space="preserve">API-AUTH-004</x:t>
  </x:si>
  <x:si>
    <x:t xml:space="preserve">REQ-API-010</x:t>
  </x:si>
  <x:si>
    <x:t xml:space="preserve">Verify login API rejects invalid credentials</x:t>
  </x:si>
  <x:si>
    <x:t xml:space="preserve">email={{invalid_email}}; password={{invalid_password}}</x:t>
  </x:si>
  <x:si>
    <x:t xml:space="preserve">Invalid test credential variables are configured.</x:t>
  </x:si>
  <x:si>
    <x:t xml:space="preserve">1. Open the request.
2. Confirm invalid credential variables.
3. Click Send.
4. Verify status and User not found message.</x:t>
  </x:si>
  <x:si>
    <x:t xml:space="preserve">API-ACCOUNT-001</x:t>
  </x:si>
  <x:si>
    <x:t xml:space="preserve">REQ-API-011</x:t>
  </x:si>
  <x:si>
    <x:t xml:space="preserve">Verify a user account can be created through the API</x:t>
  </x:si>
  <x:si>
    <x:t xml:space="preserve">{{base_url}}/createAccount</x:t>
  </x:si>
  <x:si>
    <x:t xml:space="preserve">Required account fields from environment and request body</x:t>
  </x:si>
  <x:si>
    <x:t xml:space="preserve">A unique disposable email is configured and no account currently uses it.</x:t>
  </x:si>
  <x:si>
    <x:t xml:space="preserve">1. Confirm all required account fields.
2. Click Send.
3. Verify status and User created message.
4. Preserve sanitized evidence.</x:t>
  </x:si>
  <x:si>
    <x:t xml:space="preserve">API-ACCOUNT-002</x:t>
  </x:si>
  <x:si>
    <x:t xml:space="preserve">REQ-API-012</x:t>
  </x:si>
  <x:si>
    <x:t xml:space="preserve">Verify a user account can be deleted through the API</x:t>
  </x:si>
  <x:si>
    <x:t xml:space="preserve">{{base_url}}/deleteAccount</x:t>
  </x:si>
  <x:si>
    <x:t xml:space="preserve">email={{account_email}}; password={{account_password}}</x:t>
  </x:si>
  <x:si>
    <x:t xml:space="preserve">A disposable QA account exists and its credentials are configured.</x:t>
  </x:si>
  <x:si>
    <x:t xml:space="preserve">1. Confirm the disposable account values.
2. Click Send.
3. Verify status and Account deleted message.</x:t>
  </x:si>
  <x:si>
    <x:t xml:space="preserve">API-ACCOUNT-003</x:t>
  </x:si>
  <x:si>
    <x:t xml:space="preserve">REQ-API-013</x:t>
  </x:si>
  <x:si>
    <x:t xml:space="preserve">Verify a user account can be updated through the API</x:t>
  </x:si>
  <x:si>
    <x:t xml:space="preserve">{{base_url}}/updateAccount</x:t>
  </x:si>
  <x:si>
    <x:t xml:space="preserve">Required account fields with updated values</x:t>
  </x:si>
  <x:si>
    <x:t xml:space="preserve">1. Confirm account and updated field values.
2. Click Send.
3. Verify status and User updated message.</x:t>
  </x:si>
  <x:si>
    <x:t xml:space="preserve">API-ACCOUNT-004</x:t>
  </x:si>
  <x:si>
    <x:t xml:space="preserve">REQ-API-014</x:t>
  </x:si>
  <x:si>
    <x:t xml:space="preserve">Verify user-account details can be retrieved by email</x:t>
  </x:si>
  <x:si>
    <x:t xml:space="preserve">{{base_url}}/getUserDetailByEmail</x:t>
  </x:si>
  <x:si>
    <x:t xml:space="preserve">email={{account_email}}</x:t>
  </x:si>
  <x:si>
    <x:t xml:space="preserve">A disposable QA account exists and its email is configured.</x:t>
  </x:si>
  <x:si>
    <x:t xml:space="preserve">1. Confirm the account email parameter.
2. Click Send.
3. Verify status and returned user details.</x:t>
  </x:si>
  <x:si>
    <x:t xml:space="preserve">API Test Workbook — Usage Guide</x:t>
  </x:si>
  <x:si>
    <x:t xml:space="preserve">Execution Workflow</x:t>
  </x:si>
  <x:si>
    <x:t xml:space="preserve">Field</x:t>
  </x:si>
  <x:si>
    <x:t xml:space="preserve">Required?</x:t>
  </x:si>
  <x:si>
    <x:t xml:space="preserve">Purpose</x:t>
  </x:si>
  <x:si>
    <x:t xml:space="preserve">Entry Guidance</x:t>
  </x:si>
  <x:si>
    <x:t xml:space="preserve">Yes</x:t>
  </x:si>
  <x:si>
    <x:t xml:space="preserve">Traceability</x:t>
  </x:si>
  <x:si>
    <x:t xml:space="preserve">Use the RTM-mapped API identifier.</x:t>
  </x:si>
  <x:si>
    <x:t xml:space="preserve">Requirement mapping</x:t>
  </x:si>
  <x:si>
    <x:t xml:space="preserve">Use REQ-API-001 through REQ-API-014.</x:t>
  </x:si>
  <x:si>
    <x:t xml:space="preserve">Method / Endpoint</x:t>
  </x:si>
  <x:si>
    <x:t xml:space="preserve">Request definition</x:t>
  </x:si>
  <x:si>
    <x:t xml:space="preserve">Record the method and environment-based endpoint.</x:t>
  </x:si>
  <x:si>
    <x:t xml:space="preserve">When applicable</x:t>
  </x:si>
  <x:si>
    <x:t xml:space="preserve">Repeatability</x:t>
  </x:si>
  <x:si>
    <x:t xml:space="preserve">List safe values or variable names; never store secrets.</x:t>
  </x:si>
  <x:si>
    <x:t xml:space="preserve">Pass/fail oracle</x:t>
  </x:si>
  <x:si>
    <x:t xml:space="preserve">After execution</x:t>
  </x:si>
  <x:si>
    <x:t xml:space="preserve">Observed result</x:t>
  </x:si>
  <x:si>
    <x:t xml:space="preserve">Enter the status returned by Postman.</x:t>
  </x:si>
  <x:si>
    <x:t xml:space="preserve">Evidence summary</x:t>
  </x:si>
  <x:si>
    <x:t xml:space="preserve">Summarize what was observed; do not copy expected text without verifying.</x:t>
  </x:si>
  <x:si>
    <x:t xml:space="preserve">Response Time</x:t>
  </x:si>
  <x:si>
    <x:t xml:space="preserve">Basic performance observation</x:t>
  </x:si>
  <x:si>
    <x:t xml:space="preserve">Record Postman's displayed duration in milliseconds.</x:t>
  </x:si>
  <x:si>
    <x:t xml:space="preserve">Execution outcome</x:t>
  </x:si>
  <x:si>
    <x:t xml:space="preserve">Use Pass, Fail, Blocked, Retest, or Not Run.</x:t>
  </x:si>
  <x:si>
    <x:t xml:space="preserve">Evidence</x:t>
  </x:si>
  <x:si>
    <x:t xml:space="preserve">Audit trail</x:t>
  </x:si>
  <x:si>
    <x:t xml:space="preserve">Use a relative path to a sanitized screenshot or report.</x:t>
  </x:si>
  <x:si>
    <x:t xml:space="preserve">If failed</x:t>
  </x:si>
  <x:si>
    <x:t xml:space="preserve">Defect traceability</x:t>
  </x:si>
  <x:si>
    <x:t xml:space="preserve">Use BUG-API-###; otherwise enter NA.</x:t>
  </x:si>
  <x:si>
    <x:t xml:space="preserve">Optional</x:t>
  </x:si>
  <x:si>
    <x:t xml:space="preserve">Context</x:t>
  </x:si>
  <x:si>
    <x:t xml:space="preserve">Capture anomalies, dependencies, cleanup, or retest information.</x:t>
  </x:si>
  <x:si>
    <x:t xml:space="preserve">Modules</x:t>
  </x:si>
  <x:si>
    <x:t xml:space="preserve">Test Types</x:t>
  </x:si>
  <x:si>
    <x:t xml:space="preserve">Priorities</x:t>
  </x:si>
  <x:si>
    <x:t xml:space="preserve">Methods</x:t>
  </x:si>
  <x:si>
    <x:t xml:space="preserve">Statuses</x:t>
  </x:si>
  <x:si>
    <x:t xml:space="preserve">Pass</x:t>
  </x:si>
  <x:si>
    <x:t xml:space="preserve">Fail</x:t>
  </x:si>
  <x:si>
    <x:t xml:space="preserve">Low</x:t>
  </x:si>
  <x:si>
    <x:t xml:space="preserve">Blocked</x:t>
  </x:si>
  <x:si>
    <x:t xml:space="preserve">Retest</x:t>
  </x:si>
</x:sst>
</file>

<file path=xl/styles.xml><?xml version="1.0" encoding="utf-8"?>
<x:styleSheet xmlns:x="http://schemas.openxmlformats.org/spreadsheetml/2006/main">
  <x:numFmts count="1">
    <x:numFmt numFmtId="164" formatCode="yyyy\-mm\-dd"/>
  </x:numFmts>
  <x:fonts count="20">
    <x:font>
      <x:sz val="11"/>
      <x:name val="Carlito"/>
    </x:font>
    <x:font>
      <x:b/>
      <x:sz val="18"/>
      <x:color rgb="FFFFFFFF"/>
      <x:name val="Carlito"/>
    </x:font>
    <x:font>
      <x:i/>
      <x:sz val="10"/>
      <x:color rgb="FF1F2937"/>
      <x:name val="Carlito"/>
    </x:font>
    <x:font>
      <x:b/>
      <x:sz val="10"/>
      <x:color rgb="FFFFFFFF"/>
      <x:name val="Carlito"/>
    </x:font>
    <x:font>
      <x:b/>
      <x:sz val="18"/>
      <x:color rgb="FF17365D"/>
      <x:name val="Carlito"/>
    </x:font>
    <x:font>
      <x:sz val="10"/>
      <x:color rgb="FF1F2937"/>
      <x:name val="Carlito"/>
    </x:font>
    <x:font>
      <x:b/>
      <x:sz val="11"/>
      <x:color rgb="FFFFFFFF"/>
      <x:name val="Carlito"/>
    </x:font>
    <x:font>
      <x:sz val="11"/>
      <x:color rgb="FF1F2937"/>
      <x:name val="Carlito"/>
    </x:font>
    <x:font>
      <x:i/>
      <x:sz val="10"/>
      <x:color rgb="FF7F6000"/>
      <x:name val="Carlito"/>
    </x:font>
    <x:font>
      <x:b/>
      <x:sz val="12"/>
      <x:color rgb="FFFFFFFF"/>
      <x:name val="Carlito"/>
    </x:font>
    <x:font>
      <x:sz val="11"/>
      <x:color theme="10"/>
      <x:name val="Carlito"/>
    </x:font>
    <x:font>
      <x:sz val="10"/>
      <x:name val="Arial Unicode MS"/>
    </x:font>
    <x:font>
      <x:i/>
      <x:sz val="10"/>
      <x:color rgb="FF16324F"/>
      <x:name val="Carlito"/>
    </x:font>
    <x:font>
      <x:b/>
      <x:sz val="11"/>
      <x:color rgb="FF1F2937"/>
      <x:name val="Carlito"/>
    </x:font>
    <x:font>
      <x:b/>
      <x:sz val="11"/>
      <x:color rgb="FF17603A"/>
      <x:name val="Carlito"/>
    </x:font>
    <x:font>
      <x:b/>
      <x:sz val="10"/>
      <x:color rgb="FFFFFFFF"/>
      <x:name val="Aptos"/>
    </x:font>
    <x:font>
      <x:i/>
      <x:sz val="10"/>
      <x:color rgb="FF16324F"/>
      <x:name val="Aptos"/>
    </x:font>
    <x:font>
      <x:sz val="10"/>
      <x:name val="Aptos"/>
    </x:font>
    <x:font>
      <x:b/>
      <x:sz val="10"/>
      <x:color rgb="FF1F2937"/>
      <x:name val="Aptos"/>
    </x:font>
    <x:font>
      <x:b/>
      <x:sz val="10"/>
      <x:color rgb="FF17603A"/>
      <x:name val="Aptos"/>
    </x:font>
  </x:fonts>
  <x:fills count="13">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4F6F8"/>
      </x:patternFill>
    </x:fill>
    <x:fill>
      <x:patternFill patternType="solid">
        <x:fgColor rgb="FFEAF3F8"/>
      </x:patternFill>
    </x:fill>
    <x:fill>
      <x:patternFill patternType="solid">
        <x:fgColor rgb="FFFFF2CC"/>
      </x:patternFill>
    </x:fill>
    <x:fill>
      <x:patternFill patternType="solid">
        <x:fgColor rgb="FF0B3558"/>
      </x:patternFill>
    </x:fill>
    <x:fill>
      <x:patternFill patternType="solid">
        <x:fgColor rgb="FFD9EAF7"/>
      </x:patternFill>
    </x:fill>
    <x:fill>
      <x:patternFill patternType="solid">
        <x:fgColor rgb="FF1386B8"/>
      </x:patternFill>
    </x:fill>
    <x:fill>
      <x:patternFill patternType="solid">
        <x:fgColor rgb="FFF2C94C"/>
      </x:patternFill>
    </x:fill>
    <x:fill>
      <x:patternFill patternType="solid">
        <x:fgColor rgb="FFD9F2E6"/>
      </x:patternFill>
    </x:fill>
  </x:fills>
  <x:borders count="13">
    <x:border/>
    <x:border>
      <x:left style="thin">
        <x:color rgb="FFB7C9DB"/>
      </x:left>
      <x:top style="thin">
        <x:color rgb="FFB7C9DB"/>
      </x:top>
      <x:bottom style="thin">
        <x:color rgb="FFB7C9DB"/>
      </x:bottom>
    </x:border>
    <x:border>
      <x:top style="thin">
        <x:color rgb="FFB7C9DB"/>
      </x:top>
      <x:bottom style="thin">
        <x:color rgb="FFB7C9DB"/>
      </x:bottom>
    </x:border>
    <x:border>
      <x:right style="thin">
        <x:color rgb="FFB7C9DB"/>
      </x:right>
      <x:top style="thin">
        <x:color rgb="FFB7C9DB"/>
      </x:top>
      <x:bottom style="thin">
        <x:color rgb="FFB7C9DB"/>
      </x:bottom>
    </x:border>
    <x:border>
      <x:left style="thin">
        <x:color rgb="FFB7C9DB"/>
      </x:left>
      <x:top style="thin">
        <x:color rgb="FFB7C9DB"/>
      </x:top>
    </x:border>
    <x:border>
      <x:top style="thin">
        <x:color rgb="FFB7C9DB"/>
      </x:top>
    </x:border>
    <x:border>
      <x:right style="thin">
        <x:color rgb="FFB7C9DB"/>
      </x:right>
      <x:top style="thin">
        <x:color rgb="FFB7C9DB"/>
      </x:top>
    </x:border>
    <x:border>
      <x:left style="thin">
        <x:color rgb="FFB7C9DB"/>
      </x:left>
      <x:bottom style="thin">
        <x:color rgb="FFB7C9DB"/>
      </x:bottom>
    </x:border>
    <x:border>
      <x:bottom style="thin">
        <x:color rgb="FFB7C9DB"/>
      </x:bottom>
    </x:border>
    <x:border>
      <x:right style="thin">
        <x:color rgb="FFB7C9DB"/>
      </x:right>
      <x:bottom style="thin">
        <x:color rgb="FFB7C9DB"/>
      </x:bottom>
    </x:border>
    <x:border>
      <x:left style="thin">
        <x:color rgb="FFB7C9DB"/>
      </x:left>
    </x:border>
    <x:border>
      <x:right style="thin">
        <x:color rgb="FFB7C9DB"/>
      </x:right>
    </x:border>
    <x:border>
      <x:left style="thin">
        <x:color indexed="64"/>
      </x:left>
      <x:right style="thin">
        <x:color indexed="64"/>
      </x:right>
      <x:top style="thin">
        <x:color indexed="64"/>
      </x:top>
      <x:bottom style="thin">
        <x:color indexed="64"/>
      </x:bottom>
    </x:border>
  </x:borders>
  <x:cellStyleXfs count="2">
    <x:xf numFmtId="0" fontId="0" fillId="0" borderId="0"/>
    <x:xf numFmtId="0" fontId="10" fillId="0" borderId="0" applyNumberFormat="0" applyFill="0" applyBorder="0" applyAlignment="0" applyProtection="0"/>
  </x:cellStyleXfs>
  <x:cellXfs count="83">
    <x:xf numFmtId="0" fontId="0" fillId="0" borderId="0" xfId="0"/>
    <x:xf numFmtId="0" fontId="3" fillId="4" borderId="4" xfId="0" applyFont="1" applyFill="1" applyBorder="1" applyAlignment="1">
      <x:alignment horizontal="center" vertical="center"/>
    </x:xf>
    <x:xf numFmtId="0" fontId="3" fillId="4" borderId="5" xfId="0" applyFont="1" applyFill="1" applyBorder="1" applyAlignment="1">
      <x:alignment horizontal="center" vertical="center"/>
    </x:xf>
    <x:xf numFmtId="0" fontId="3" fillId="4" borderId="6" xfId="0" applyFont="1" applyFill="1" applyBorder="1" applyAlignment="1">
      <x:alignment horizontal="center" vertical="center"/>
    </x:xf>
    <x:xf numFmtId="0" fontId="3" fillId="4" borderId="0" xfId="0" applyFont="1" applyFill="1" applyAlignment="1">
      <x:alignment horizontal="center" vertical="center" wrapText="1"/>
    </x:xf>
    <x:xf numFmtId="0" fontId="3" fillId="4" borderId="4" xfId="0" applyFont="1" applyFill="1" applyBorder="1" applyAlignment="1">
      <x:alignment horizontal="center" vertical="top" wrapText="1"/>
    </x:xf>
    <x:xf numFmtId="0" fontId="3" fillId="4" borderId="5" xfId="0" applyFont="1" applyFill="1" applyBorder="1" applyAlignment="1">
      <x:alignment horizontal="center" vertical="top" wrapText="1"/>
    </x:xf>
    <x:xf numFmtId="0" fontId="3" fillId="4" borderId="6" xfId="0" applyFont="1" applyFill="1" applyBorder="1" applyAlignment="1">
      <x:alignment horizontal="center" vertical="top" wrapText="1"/>
    </x:xf>
    <x:xf numFmtId="0" fontId="3" fillId="4" borderId="4" xfId="0" applyFont="1" applyFill="1" applyBorder="1" applyAlignment="1">
      <x:alignment horizontal="center"/>
    </x:xf>
    <x:xf numFmtId="0" fontId="3" fillId="4" borderId="5" xfId="0" applyFont="1" applyFill="1" applyBorder="1" applyAlignment="1">
      <x:alignment horizontal="center"/>
    </x:xf>
    <x:xf numFmtId="0" fontId="3" fillId="4" borderId="6" xfId="0" applyFont="1" applyFill="1" applyBorder="1" applyAlignment="1">
      <x:alignment horizontal="center"/>
    </x:xf>
    <x:xf numFmtId="0" fontId="1" fillId="2" borderId="0" xfId="0" applyFont="1" applyFill="1" applyAlignment="1">
      <x:alignment horizontal="center" vertical="center"/>
    </x:xf>
    <x:xf numFmtId="0" fontId="2" fillId="3" borderId="0" xfId="0" applyFont="1" applyFill="1" applyAlignment="1">
      <x:alignment horizontal="center" vertical="center"/>
    </x:xf>
    <x:xf numFmtId="0" fontId="3" fillId="4" borderId="1" xfId="0" applyFont="1" applyFill="1" applyBorder="1" applyAlignment="1">
      <x:alignment horizontal="center" vertical="center"/>
    </x:xf>
    <x:xf numFmtId="0" fontId="3" fillId="4" borderId="2" xfId="0" applyFont="1" applyFill="1" applyBorder="1" applyAlignment="1">
      <x:alignment horizontal="center" vertical="center"/>
    </x:xf>
    <x:xf numFmtId="0" fontId="3" fillId="4" borderId="3" xfId="0" applyFont="1" applyFill="1" applyBorder="1" applyAlignment="1">
      <x:alignment horizontal="center" vertical="center"/>
    </x:xf>
    <x:xf numFmtId="0" fontId="4" fillId="5" borderId="4" xfId="0" applyFont="1" applyFill="1" applyBorder="1" applyAlignment="1">
      <x:alignment horizontal="center" vertical="center"/>
    </x:xf>
    <x:xf numFmtId="0" fontId="4" fillId="5" borderId="5" xfId="0" applyFont="1" applyFill="1" applyBorder="1" applyAlignment="1">
      <x:alignment horizontal="center" vertical="center"/>
    </x:xf>
    <x:xf numFmtId="0" fontId="4" fillId="5" borderId="6" xfId="0" applyFont="1" applyFill="1" applyBorder="1" applyAlignment="1">
      <x:alignment horizontal="center" vertical="center"/>
    </x:xf>
    <x:xf numFmtId="0" fontId="4" fillId="5" borderId="7" xfId="0" applyFont="1" applyFill="1" applyBorder="1" applyAlignment="1">
      <x:alignment horizontal="center" vertical="center"/>
    </x:xf>
    <x:xf numFmtId="0" fontId="4" fillId="5" borderId="8" xfId="0" applyFont="1" applyFill="1" applyBorder="1" applyAlignment="1">
      <x:alignment horizontal="center" vertical="center"/>
    </x:xf>
    <x:xf numFmtId="0" fontId="4" fillId="5" borderId="9" xfId="0" applyFont="1" applyFill="1" applyBorder="1" applyAlignment="1">
      <x:alignment horizontal="center" vertical="center"/>
    </x:xf>
    <x:xf numFmtId="0" fontId="6" fillId="4" borderId="0" xfId="0" applyFont="1" applyFill="1" applyAlignment="1">
      <x:alignment horizontal="center"/>
    </x:xf>
    <x:xf numFmtId="0" fontId="7" fillId="6" borderId="4" xfId="0" applyFont="1" applyFill="1" applyBorder="1" applyAlignment="1">
      <x:alignment vertical="top" wrapText="1"/>
    </x:xf>
    <x:xf numFmtId="0" fontId="7" fillId="6" borderId="5" xfId="0" applyFont="1" applyFill="1" applyBorder="1" applyAlignment="1">
      <x:alignment vertical="top" wrapText="1"/>
    </x:xf>
    <x:xf numFmtId="0" fontId="7" fillId="6" borderId="6" xfId="0" applyFont="1" applyFill="1" applyBorder="1" applyAlignment="1">
      <x:alignment vertical="top" wrapText="1"/>
    </x:xf>
    <x:xf numFmtId="0" fontId="7" fillId="6" borderId="10" xfId="0" applyFont="1" applyFill="1" applyBorder="1" applyAlignment="1">
      <x:alignment vertical="top" wrapText="1"/>
    </x:xf>
    <x:xf numFmtId="0" fontId="7" fillId="6" borderId="0" xfId="0" applyFont="1" applyFill="1" applyAlignment="1">
      <x:alignment vertical="top" wrapText="1"/>
    </x:xf>
    <x:xf numFmtId="0" fontId="7" fillId="6" borderId="11" xfId="0" applyFont="1" applyFill="1" applyBorder="1" applyAlignment="1">
      <x:alignment vertical="top" wrapText="1"/>
    </x:xf>
    <x:xf numFmtId="0" fontId="7" fillId="6" borderId="7" xfId="0" applyFont="1" applyFill="1" applyBorder="1" applyAlignment="1">
      <x:alignment vertical="top" wrapText="1"/>
    </x:xf>
    <x:xf numFmtId="0" fontId="7" fillId="6" borderId="8" xfId="0" applyFont="1" applyFill="1" applyBorder="1" applyAlignment="1">
      <x:alignment vertical="top" wrapText="1"/>
    </x:xf>
    <x:xf numFmtId="0" fontId="7" fillId="6" borderId="9" xfId="0" applyFont="1" applyFill="1" applyBorder="1" applyAlignment="1">
      <x:alignment vertical="top" wrapText="1"/>
    </x:xf>
    <x:xf numFmtId="0" fontId="8" fillId="7" borderId="4" xfId="0" applyFont="1" applyFill="1" applyBorder="1" applyAlignment="1">
      <x:alignment vertical="center" wrapText="1"/>
    </x:xf>
    <x:xf numFmtId="0" fontId="8" fillId="7" borderId="5" xfId="0" applyFont="1" applyFill="1" applyBorder="1" applyAlignment="1">
      <x:alignment vertical="center" wrapText="1"/>
    </x:xf>
    <x:xf numFmtId="0" fontId="8" fillId="7" borderId="6" xfId="0" applyFont="1" applyFill="1" applyBorder="1" applyAlignment="1">
      <x:alignment vertical="center" wrapText="1"/>
    </x:xf>
    <x:xf numFmtId="0" fontId="8" fillId="7" borderId="7" xfId="0" applyFont="1" applyFill="1" applyBorder="1" applyAlignment="1">
      <x:alignment vertical="center" wrapText="1"/>
    </x:xf>
    <x:xf numFmtId="0" fontId="8" fillId="7" borderId="8" xfId="0" applyFont="1" applyFill="1" applyBorder="1" applyAlignment="1">
      <x:alignment vertical="center" wrapText="1"/>
    </x:xf>
    <x:xf numFmtId="0" fontId="8" fillId="7" borderId="9" xfId="0" applyFont="1" applyFill="1" applyBorder="1" applyAlignment="1">
      <x:alignment vertical="center" wrapText="1"/>
    </x:xf>
    <x:xf numFmtId="0" fontId="5" fillId="6" borderId="4" xfId="0" applyFont="1" applyFill="1" applyBorder="1" applyAlignment="1">
      <x:alignment vertical="center" wrapText="1"/>
    </x:xf>
    <x:xf numFmtId="0" fontId="5" fillId="6" borderId="5" xfId="0" applyFont="1" applyFill="1" applyBorder="1" applyAlignment="1">
      <x:alignment vertical="center" wrapText="1"/>
    </x:xf>
    <x:xf numFmtId="0" fontId="5" fillId="6" borderId="6" xfId="0" applyFont="1" applyFill="1" applyBorder="1" applyAlignment="1">
      <x:alignment vertical="center" wrapText="1"/>
    </x:xf>
    <x:xf numFmtId="0" fontId="5" fillId="6" borderId="7" xfId="0" applyFont="1" applyFill="1" applyBorder="1" applyAlignment="1">
      <x:alignment vertical="center" wrapText="1"/>
    </x:xf>
    <x:xf numFmtId="0" fontId="5" fillId="6" borderId="8" xfId="0" applyFont="1" applyFill="1" applyBorder="1" applyAlignment="1">
      <x:alignment vertical="center" wrapText="1"/>
    </x:xf>
    <x:xf numFmtId="0" fontId="5" fillId="6" borderId="9" xfId="0" applyFont="1" applyFill="1" applyBorder="1" applyAlignment="1">
      <x:alignment vertical="center" wrapText="1"/>
    </x:xf>
    <x:xf numFmtId="0" fontId="9" fillId="4" borderId="0" xfId="0" applyFont="1" applyFill="1"/>
    <x:xf numFmtId="0" fontId="5" fillId="0" borderId="12" xfId="0" applyFont="1" applyBorder="1" applyAlignment="1">
      <x:alignment horizontal="center" vertical="center"/>
    </x:xf>
    <x:xf numFmtId="0" fontId="5" fillId="0" borderId="12" xfId="0" applyFont="1" applyBorder="1" applyAlignment="1">
      <x:alignment vertical="top" wrapText="1"/>
    </x:xf>
    <x:xf numFmtId="0" fontId="5" fillId="0" borderId="12" xfId="0" applyFont="1" applyBorder="1" applyAlignment="1">
      <x:alignment horizontal="center" vertical="top" wrapText="1"/>
    </x:xf>
    <x:xf numFmtId="0" fontId="5" fillId="0" borderId="12" xfId="0" applyFont="1" applyBorder="1"/>
    <x:xf numFmtId="164" fontId="5" fillId="0" borderId="12" xfId="0" applyNumberFormat="1" applyFont="1" applyBorder="1" applyAlignment="1">
      <x:alignment horizontal="center" vertical="top" wrapText="1"/>
    </x:xf>
    <x:xf numFmtId="0" fontId="10" fillId="0" borderId="12" xfId="1" applyBorder="1" applyAlignment="1">
      <x:alignment horizontal="center" vertical="top" wrapText="1"/>
    </x:xf>
    <x:xf numFmtId="0" fontId="11" fillId="0" borderId="0" xfId="0" applyFont="1" applyAlignment="1">
      <x:alignment horizontal="center" vertical="top"/>
    </x:xf>
    <x:xf numFmtId="0" fontId="10" fillId="0" borderId="0" xfId="1" applyFill="1" applyAlignment="1">
      <x:alignment vertical="top"/>
    </x:xf>
    <x:xf numFmtId="0" fontId="10" fillId="0" borderId="0" xfId="1" applyFill="1" applyAlignment="1">
      <x:alignment horizontal="left" vertical="top"/>
    </x:xf>
    <x:xf numFmtId="0" fontId="10" fillId="0" borderId="12" xfId="0" applyNumberFormat="1" applyFont="1" applyFill="1" applyBorder="1" applyAlignment="1">
      <x:alignment horizontal="center" vertical="top" wrapText="1"/>
    </x:xf>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horizontal="left" vertical="top" wrapText="1"/>
    </x:xf>
    <x:xf numFmtId="0" fontId="5" fillId="0" borderId="12" xfId="0" applyNumberFormat="1" applyFont="1" applyFill="1" applyBorder="1" applyAlignment="1">
      <x:alignment vertical="top" wrapText="1"/>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12" fillId="9" borderId="0"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0" fillId="11" borderId="0" xfId="0" applyNumberFormat="1" applyFont="1" applyFill="1" applyBorder="1"/>
    <x:xf numFmtId="0" fontId="13" fillId="11" borderId="0" xfId="0" applyNumberFormat="1" applyFont="1" applyFill="1" applyBorder="1"/>
    <x:xf numFmtId="0" fontId="0" fillId="0" borderId="0" xfId="0" applyNumberFormat="1" applyFont="1" applyFill="1" applyBorder="1" applyAlignment="1">
      <x:alignment wrapText="1"/>
    </x:xf>
    <x:xf numFmtId="0" fontId="0" fillId="12" borderId="0" xfId="0" applyNumberFormat="1" applyFont="1" applyFill="1" applyBorder="1"/>
    <x:xf numFmtId="0" fontId="14" fillId="12" borderId="0" xfId="0" applyNumberFormat="1" applyFont="1" applyFill="1" applyBorder="1"/>
    <x:xf numFmtId="0" fontId="1" fillId="8" borderId="0" xfId="0" applyNumberFormat="1" applyFont="1" applyFill="1" applyBorder="1" applyAlignment="1">
      <x:alignment vertical="center"/>
    </x:xf>
    <x:xf numFmtId="0" fontId="12" fillId="9"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6" fillId="10" borderId="0" xfId="0" applyNumberFormat="1" applyFont="1" applyFill="1" applyBorder="1" applyAlignment="1">
      <x:alignment vertical="center"/>
    </x:xf>
    <x:xf numFmtId="0" fontId="13" fillId="11"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14" fillId="12" borderId="0" xfId="0" applyNumberFormat="1" applyFont="1" applyFill="1" applyBorder="1" applyAlignment="1">
      <x:alignment vertical="center"/>
    </x:xf>
    <x:xf numFmtId="0" fontId="15" fillId="8" borderId="0" xfId="0" applyNumberFormat="1" applyFont="1" applyFill="1" applyBorder="1" applyAlignment="1">
      <x:alignment vertical="center"/>
    </x:xf>
    <x:xf numFmtId="0" fontId="16" fillId="9" borderId="0" xfId="0" applyNumberFormat="1" applyFont="1" applyFill="1" applyBorder="1" applyAlignment="1">
      <x:alignment vertical="center"/>
    </x:xf>
    <x:xf numFmtId="0" fontId="17" fillId="0" borderId="0" xfId="0" applyNumberFormat="1" applyFont="1" applyFill="1" applyBorder="1" applyAlignment="1">
      <x:alignment vertical="center"/>
    </x:xf>
    <x:xf numFmtId="0" fontId="15" fillId="10" borderId="0" xfId="0" applyNumberFormat="1" applyFont="1" applyFill="1" applyBorder="1" applyAlignment="1">
      <x:alignment vertical="center"/>
    </x:xf>
    <x:xf numFmtId="0" fontId="18" fillId="11" borderId="0" xfId="0" applyNumberFormat="1" applyFont="1" applyFill="1" applyBorder="1" applyAlignment="1">
      <x:alignment vertical="center"/>
    </x:xf>
    <x:xf numFmtId="0" fontId="17" fillId="0" borderId="0" xfId="0" applyNumberFormat="1" applyFont="1" applyFill="1" applyBorder="1" applyAlignment="1">
      <x:alignment vertical="center" wrapText="1"/>
    </x:xf>
    <x:xf numFmtId="0" fontId="19" fillId="12" borderId="0" xfId="0" applyNumberFormat="1" applyFont="1" applyFill="1" applyBorder="1" applyAlignment="1">
      <x:alignment vertical="center"/>
    </x:xf>
  </x:cellXfs>
  <x:cellStyles count="2">
    <x:cellStyle name="Hyperlink" xfId="1"/>
    <x:cellStyle name="Normal" xfId="0"/>
  </x:cellStyles>
  <x:dxfs count="31">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font>
        <x:b/>
        <x:color rgb="FF7F6000"/>
      </x:font>
      <x:fill>
        <x:patternFill>
          <x:bgColor rgb="FFFFF2CC"/>
        </x:patternFill>
      </x:fill>
    </x:dxf>
    <x:dxf>
      <x:font>
        <x:color rgb="FF595959"/>
      </x:font>
      <x:fill>
        <x:patternFill>
          <x:bgColor rgb="FFE7E6E6"/>
        </x:patternFill>
      </x:fill>
    </x:dxf>
    <x:dxf>
      <x:font>
        <x:b/>
        <x:color rgb="FF7030A0"/>
      </x:font>
      <x:fill>
        <x:patternFill>
          <x:bgColor rgb="FFE4DFE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03f4c02905476b" /><Relationship Type="http://schemas.openxmlformats.org/officeDocument/2006/relationships/theme" Target="/xl/theme/theme1.xml" Id="Rc4b0dee6e5d14607" /><Relationship Type="http://schemas.openxmlformats.org/officeDocument/2006/relationships/sharedStrings" Target="/xl/sharedStrings.xml" Id="R87de85f6132142bc" /><Relationship Type="http://schemas.openxmlformats.org/officeDocument/2006/relationships/worksheet" Target="/xl/worksheets/sheet1.xml" Id="Ra068fe473d484525" /><Relationship Type="http://schemas.openxmlformats.org/officeDocument/2006/relationships/worksheet" Target="/xl/worksheets/sheet2.xml" Id="Racbf0e98ca4d4419" /><Relationship Type="http://schemas.openxmlformats.org/officeDocument/2006/relationships/worksheet" Target="/xl/worksheets/sheet3.xml" Id="R27961b58190440a5" /><Relationship Type="http://schemas.openxmlformats.org/officeDocument/2006/relationships/worksheet" Target="/xl/worksheets/sheet4.xml" Id="R1863b52dad494ecb" /><Relationship Type="http://schemas.openxmlformats.org/officeDocument/2006/relationships/worksheet" Target="/xl/worksheets/sheet5.xml" Id="Rff60f87b119d43fa" /></Relationships>
</file>

<file path=xl/tables/table1.xml><?xml version="1.0" encoding="utf-8"?>
<x:table xmlns:x="http://schemas.openxmlformats.org/spreadsheetml/2006/main" id="1" name="ApiTestCases" displayName="ApiTestCases" ref="A7:X21">
  <x:autoFilter ref="A7:X21"/>
  <x:tableColumns count="24">
    <x:tableColumn id="1" name="Test Case ID"/>
    <x:tableColumn id="2" name="Requirement ID"/>
    <x:tableColumn id="3" name="Module"/>
    <x:tableColumn id="4" name="Test Type"/>
    <x:tableColumn id="5" name="Priority"/>
    <x:tableColumn id="6" name="Title / Objective"/>
    <x:tableColumn id="7" name="Method"/>
    <x:tableColumn id="8" name="Endpoint"/>
    <x:tableColumn id="9" name="Authentication"/>
    <x:tableColumn id="10" name="Headers"/>
    <x:tableColumn id="11" name="Parameters / Body"/>
    <x:tableColumn id="12" name="Preconditions"/>
    <x:tableColumn id="13" name="Test Steps"/>
    <x:tableColumn id="14" name="Expected HTTP Status"/>
    <x:tableColumn id="15" name="Expected Response"/>
    <x:tableColumn id="16" name="Actual HTTP Status"/>
    <x:tableColumn id="17" name="Actual Response"/>
    <x:tableColumn id="18" name="Response Time (ms)"/>
    <x:tableColumn id="19" name="Status"/>
    <x:tableColumn id="20" name="Executed By"/>
    <x:tableColumn id="21" name="Execution Date"/>
    <x:tableColumn id="22" name="Evidence / Screenshot"/>
    <x:tableColumn id="23" name="Defect ID"/>
    <x:tableColumn id="24"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97224d8f2340d9" /></Relationships>
</file>

<file path=xl/worksheets/sheet1.xml><?xml version="1.0" encoding="utf-8"?>
<x:worksheet xmlns:x="http://schemas.openxmlformats.org/spreadsheetml/2006/main">
  <x:sheetViews>
    <x:sheetView showGridLines="0" workbookViewId="0"/>
  </x:sheetViews>
  <x:sheetFormatPr defaultRowHeight="14"/>
  <x:cols>
    <x:col min="1" max="1" width="24" customWidth="1"/>
    <x:col min="2" max="3" width="13" customWidth="1"/>
    <x:col min="4" max="4" width="15" customWidth="1"/>
    <x:col min="5" max="5" width="4" customWidth="1"/>
    <x:col min="6" max="11" width="16" customWidth="1"/>
    <x:col min="12" max="12" width="4" customWidth="1"/>
    <x:col min="13" max="14" width="12" customWidth="1"/>
  </x:cols>
  <x:sheetData>
    <x:row r="1" ht="36" customHeight="1">
      <x:c r="A1" s="11" t="s">
        <x:v>0</x:v>
      </x:c>
      <x:c r="B1" s="11"/>
      <x:c r="C1" s="11"/>
      <x:c r="D1" s="11"/>
      <x:c r="E1" s="11"/>
      <x:c r="F1" s="11"/>
      <x:c r="G1" s="11"/>
      <x:c r="H1" s="11"/>
      <x:c r="I1" s="11"/>
      <x:c r="J1" s="11"/>
      <x:c r="K1" s="11"/>
      <x:c r="L1" s="11"/>
      <x:c r="M1" s="11"/>
      <x:c r="N1" s="11"/>
    </x:row>
    <x:row r="2" ht="24" customHeight="1">
      <x:c r="A2" s="12" t="str">
        <x:v>Professional API QA repository | 14 official requirements | clean Postman run plus independent Playwright verification</x:v>
      </x:c>
      <x:c r="B2" s="12"/>
      <x:c r="C2" s="12"/>
      <x:c r="D2" s="12"/>
      <x:c r="E2" s="12"/>
      <x:c r="F2" s="12"/>
      <x:c r="G2" s="12"/>
      <x:c r="H2" s="12"/>
      <x:c r="I2" s="12"/>
      <x:c r="J2" s="12"/>
      <x:c r="K2" s="12"/>
      <x:c r="L2" s="12"/>
      <x:c r="M2" s="12"/>
      <x:c r="N2" s="12"/>
    </x:row>
    <x:row r="4">
      <x:c r="A4" s="13" t="s">
        <x:v>1</x:v>
      </x:c>
      <x:c r="B4" s="14"/>
      <x:c r="C4" s="15"/>
      <x:c r="E4" s="13" t="s">
        <x:v>2</x:v>
      </x:c>
      <x:c r="F4" s="14"/>
      <x:c r="G4" s="15"/>
      <x:c r="I4" s="13" t="s">
        <x:v>3</x:v>
      </x:c>
      <x:c r="J4" s="14"/>
      <x:c r="K4" s="15"/>
      <x:c r="M4" s="13" t="s">
        <x:v>4</x:v>
      </x:c>
      <x:c r="N4" s="15"/>
    </x:row>
    <x:row r="5">
      <x:c r="A5" s="16" t="n">
        <x:f>COUNTA('API Test Cases'!A8:A21)</x:f>
        <x:v>14</x:v>
      </x:c>
      <x:c r="B5" s="17"/>
      <x:c r="C5" s="18"/>
      <x:c r="E5" s="16" t="n">
        <x:f>COUNTIF('API Test Cases'!S8:S21,"Pass")</x:f>
        <x:v>14</x:v>
      </x:c>
      <x:c r="F5" s="17"/>
      <x:c r="G5" s="18"/>
      <x:c r="I5" s="16" t="n">
        <x:f>COUNTIF('API Test Cases'!S8:S21,"Fail")</x:f>
        <x:v>0</x:v>
      </x:c>
      <x:c r="J5" s="17"/>
      <x:c r="K5" s="18"/>
      <x:c r="M5" s="16" t="n">
        <x:f>COUNTIF('API Test Cases'!S8:S21,"Not Run")</x:f>
        <x:v>0</x:v>
      </x:c>
      <x:c r="N5" s="18"/>
    </x:row>
    <x:row r="6">
      <x:c r="A6" s="19"/>
      <x:c r="B6" s="20"/>
      <x:c r="C6" s="21"/>
      <x:c r="E6" s="19"/>
      <x:c r="F6" s="20"/>
      <x:c r="G6" s="21"/>
      <x:c r="I6" s="19"/>
      <x:c r="J6" s="20"/>
      <x:c r="K6" s="21"/>
      <x:c r="M6" s="19"/>
      <x:c r="N6" s="21"/>
    </x:row>
    <x:row r="8">
      <x:c r="A8" s="1" t="s">
        <x:v>5</x:v>
      </x:c>
      <x:c r="B8" s="2" t="s">
        <x:v>6</x:v>
      </x:c>
      <x:c r="C8" s="2" t="s">
        <x:v>2</x:v>
      </x:c>
      <x:c r="D8" s="3" t="s">
        <x:v>7</x:v>
      </x:c>
      <x:c r="F8" s="22" t="s">
        <x:v>8</x:v>
      </x:c>
      <x:c r="G8" s="22"/>
      <x:c r="H8" s="22"/>
      <x:c r="I8" s="22"/>
      <x:c r="J8" s="22"/>
      <x:c r="K8" s="22"/>
      <x:c r="L8" s="22"/>
      <x:c r="M8" s="22"/>
      <x:c r="N8" s="22"/>
    </x:row>
    <x:row r="9">
      <x:c r="A9" s="45" t="s">
        <x:v>9</x:v>
      </x:c>
      <x:c r="B9" s="45" t="n">
        <x:f>COUNTIF('API Test Cases'!C8:C21,A9)</x:f>
        <x:v>2</x:v>
      </x:c>
      <x:c r="C9" s="45" t="n">
        <x:f>COUNTIFS('API Test Cases'!C8:C21,A9,'API Test Cases'!S8:S21,"Pass")</x:f>
        <x:v>2</x:v>
      </x:c>
      <x:c r="D9" s="45" t="n">
        <x:f>B9-C9</x:f>
        <x:v>0</x:v>
      </x:c>
      <x:c r="F9" s="23" t="str">
        <x:v>Latest controlled execution: the corrected 14-request Postman collection ran once on 2026-08-09 and passed 42 of 42 assertions with zero errors. Record transport status, JSON responseCode, payload/message result, duration, evidence, and defect disposition separately. Never publish credentials or personal test data.</x:v>
      </x:c>
      <x:c r="G9" s="24"/>
      <x:c r="H9" s="24"/>
      <x:c r="I9" s="24"/>
      <x:c r="J9" s="24"/>
      <x:c r="K9" s="24"/>
      <x:c r="L9" s="24"/>
      <x:c r="M9" s="24"/>
      <x:c r="N9" s="25"/>
    </x:row>
    <x:row r="10">
      <x:c r="A10" s="45" t="s">
        <x:v>10</x:v>
      </x:c>
      <x:c r="B10" s="45" t="n">
        <x:f>COUNTIF('API Test Cases'!C8:C21,A10)</x:f>
        <x:v>2</x:v>
      </x:c>
      <x:c r="C10" s="45" t="n">
        <x:f>COUNTIFS('API Test Cases'!C8:C21,A10,'API Test Cases'!S8:S21,"Pass")</x:f>
        <x:v>2</x:v>
      </x:c>
      <x:c r="D10" s="45" t="n">
        <x:f>B10-C10</x:f>
        <x:v>0</x:v>
      </x:c>
      <x:c r="F10" s="26"/>
      <x:c r="G10" s="27"/>
      <x:c r="H10" s="27"/>
      <x:c r="I10" s="27"/>
      <x:c r="J10" s="27"/>
      <x:c r="K10" s="27"/>
      <x:c r="L10" s="27"/>
      <x:c r="M10" s="27"/>
      <x:c r="N10" s="28"/>
    </x:row>
    <x:row r="11">
      <x:c r="A11" s="45" t="s">
        <x:v>11</x:v>
      </x:c>
      <x:c r="B11" s="45" t="n">
        <x:f>COUNTIF('API Test Cases'!C8:C21,A11)</x:f>
        <x:v>2</x:v>
      </x:c>
      <x:c r="C11" s="45" t="n">
        <x:f>COUNTIFS('API Test Cases'!C8:C21,A11,'API Test Cases'!S8:S21,"Pass")</x:f>
        <x:v>2</x:v>
      </x:c>
      <x:c r="D11" s="45" t="n">
        <x:f>B11-C11</x:f>
        <x:v>0</x:v>
      </x:c>
      <x:c r="F11" s="26"/>
      <x:c r="G11" s="27"/>
      <x:c r="H11" s="27"/>
      <x:c r="I11" s="27"/>
      <x:c r="J11" s="27"/>
      <x:c r="K11" s="27"/>
      <x:c r="L11" s="27"/>
      <x:c r="M11" s="27"/>
      <x:c r="N11" s="28"/>
    </x:row>
    <x:row r="12">
      <x:c r="A12" s="45" t="s">
        <x:v>12</x:v>
      </x:c>
      <x:c r="B12" s="45" t="n">
        <x:f>COUNTIF('API Test Cases'!C8:C21,A12)</x:f>
        <x:v>4</x:v>
      </x:c>
      <x:c r="C12" s="45" t="n">
        <x:f>COUNTIFS('API Test Cases'!C8:C21,A12,'API Test Cases'!S8:S21,"Pass")</x:f>
        <x:v>4</x:v>
      </x:c>
      <x:c r="D12" s="45" t="n">
        <x:f>B12-C12</x:f>
        <x:v>0</x:v>
      </x:c>
      <x:c r="F12" s="26"/>
      <x:c r="G12" s="27"/>
      <x:c r="H12" s="27"/>
      <x:c r="I12" s="27"/>
      <x:c r="J12" s="27"/>
      <x:c r="K12" s="27"/>
      <x:c r="L12" s="27"/>
      <x:c r="M12" s="27"/>
      <x:c r="N12" s="28"/>
    </x:row>
    <x:row r="13">
      <x:c r="A13" s="45" t="s">
        <x:v>13</x:v>
      </x:c>
      <x:c r="B13" s="45" t="n">
        <x:f>COUNTIF('API Test Cases'!C8:C21,A13)</x:f>
        <x:v>4</x:v>
      </x:c>
      <x:c r="C13" s="45" t="n">
        <x:f>COUNTIFS('API Test Cases'!C8:C21,A13,'API Test Cases'!S8:S21,"Pass")</x:f>
        <x:v>4</x:v>
      </x:c>
      <x:c r="D13" s="45" t="n">
        <x:f>B13-C13</x:f>
        <x:v>0</x:v>
      </x:c>
      <x:c r="F13" s="29"/>
      <x:c r="G13" s="30"/>
      <x:c r="H13" s="30"/>
      <x:c r="I13" s="30"/>
      <x:c r="J13" s="30"/>
      <x:c r="K13" s="30"/>
      <x:c r="L13" s="30"/>
      <x:c r="M13" s="30"/>
      <x:c r="N13" s="31"/>
    </x:row>
  </x:sheetData>
  <x:mergeCells>
    <x:mergeCell ref="F8:N8"/>
    <x:mergeCell ref="F9:N13"/>
    <x:mergeCell ref="A1:N1"/>
    <x:mergeCell ref="A2:N2"/>
    <x:mergeCell ref="A4:C4"/>
    <x:mergeCell ref="A5:C6"/>
    <x:mergeCell ref="E4:G4"/>
    <x:mergeCell ref="E5:G6"/>
    <x:mergeCell ref="I4:K4"/>
    <x:mergeCell ref="I5:K6"/>
    <x:mergeCell ref="M4:N4"/>
    <x:mergeCell ref="M5:N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
  <x:cols>
    <x:col min="1" max="1" width="22" customWidth="1"/>
    <x:col min="2" max="2" width="18" customWidth="1"/>
    <x:col min="3" max="3" width="22" customWidth="1"/>
    <x:col min="4" max="4" width="18" customWidth="1"/>
    <x:col min="5" max="5" width="12" customWidth="1"/>
    <x:col min="6" max="6" width="40" customWidth="1"/>
    <x:col min="7" max="7" width="12" customWidth="1"/>
    <x:col min="8" max="8" width="38" customWidth="1"/>
    <x:col min="9" max="9" width="16" customWidth="1"/>
    <x:col min="10" max="10" width="30" customWidth="1"/>
    <x:col min="11" max="12" width="36" customWidth="1"/>
    <x:col min="13" max="13" width="44" customWidth="1"/>
    <x:col min="14" max="14" width="20" customWidth="1"/>
    <x:col min="15" max="15" width="42" customWidth="1"/>
    <x:col min="16" max="16" width="20" customWidth="1"/>
    <x:col min="17" max="17" width="43.9140625" customWidth="1"/>
    <x:col min="18" max="18" width="20" customWidth="1"/>
    <x:col min="19" max="19" width="13" customWidth="1"/>
    <x:col min="20" max="20" width="15" customWidth="1"/>
    <x:col min="21" max="21" width="16" customWidth="1"/>
    <x:col min="22" max="22" width="38" customWidth="1"/>
    <x:col min="23" max="23" width="14" customWidth="1"/>
    <x:col min="24" max="24" width="38" customWidth="1"/>
  </x:cols>
  <x:sheetData>
    <x:row r="1" ht="36" customHeight="1">
      <x:c r="A1" s="11" t="s">
        <x:v>14</x:v>
      </x:c>
      <x:c r="B1" s="11"/>
      <x:c r="C1" s="11"/>
      <x:c r="D1" s="11"/>
      <x:c r="E1" s="11"/>
      <x:c r="F1" s="11"/>
      <x:c r="G1" s="11"/>
      <x:c r="H1" s="11"/>
      <x:c r="I1" s="11"/>
      <x:c r="J1" s="11"/>
      <x:c r="K1" s="11"/>
      <x:c r="L1" s="11"/>
      <x:c r="M1" s="11"/>
      <x:c r="N1" s="11"/>
      <x:c r="O1" s="11"/>
      <x:c r="P1" s="11"/>
      <x:c r="Q1" s="11"/>
      <x:c r="R1" s="11"/>
      <x:c r="S1" s="11"/>
      <x:c r="T1" s="11"/>
      <x:c r="U1" s="11"/>
      <x:c r="V1" s="11"/>
      <x:c r="W1" s="11"/>
      <x:c r="X1" s="11"/>
    </x:row>
    <x:row r="2" ht="24" customHeight="1">
      <x:c r="A2" s="12" t="str">
        <x:v>Fourteen official API scenarios reconciled for Postman and Playwright execution</x:v>
      </x:c>
      <x:c r="B2" s="12"/>
      <x:c r="C2" s="12"/>
      <x:c r="D2" s="12"/>
      <x:c r="E2" s="12"/>
      <x:c r="F2" s="12"/>
      <x:c r="G2" s="12"/>
      <x:c r="H2" s="12"/>
      <x:c r="I2" s="12"/>
      <x:c r="J2" s="12"/>
      <x:c r="K2" s="12"/>
      <x:c r="L2" s="12"/>
      <x:c r="M2" s="12"/>
      <x:c r="N2" s="12"/>
      <x:c r="O2" s="12"/>
      <x:c r="P2" s="12"/>
      <x:c r="Q2" s="12"/>
      <x:c r="R2" s="12"/>
      <x:c r="S2" s="12"/>
      <x:c r="T2" s="12"/>
      <x:c r="U2" s="12"/>
      <x:c r="V2" s="12"/>
      <x:c r="W2" s="12"/>
      <x:c r="X2" s="12"/>
    </x:row>
    <x:row r="4">
      <x:c r="A4" s="32" t="s">
        <x:v>15</x:v>
      </x:c>
      <x:c r="B4" s="33"/>
      <x:c r="C4" s="33"/>
      <x:c r="D4" s="33"/>
      <x:c r="E4" s="33"/>
      <x:c r="F4" s="33"/>
      <x:c r="G4" s="33"/>
      <x:c r="H4" s="34"/>
      <x:c r="J4" s="38" t="s">
        <x:v>16</x:v>
      </x:c>
      <x:c r="K4" s="39"/>
      <x:c r="L4" s="39"/>
      <x:c r="M4" s="39"/>
      <x:c r="N4" s="39"/>
      <x:c r="O4" s="39"/>
      <x:c r="P4" s="39"/>
      <x:c r="Q4" s="39"/>
      <x:c r="R4" s="39"/>
      <x:c r="S4" s="39"/>
      <x:c r="T4" s="39"/>
      <x:c r="U4" s="39"/>
      <x:c r="V4" s="39"/>
      <x:c r="W4" s="39"/>
      <x:c r="X4" s="40"/>
    </x:row>
    <x:row r="5">
      <x:c r="A5" s="35"/>
      <x:c r="B5" s="36"/>
      <x:c r="C5" s="36"/>
      <x:c r="D5" s="36"/>
      <x:c r="E5" s="36"/>
      <x:c r="F5" s="36"/>
      <x:c r="G5" s="36"/>
      <x:c r="H5" s="37"/>
      <x:c r="J5" s="41"/>
      <x:c r="K5" s="42"/>
      <x:c r="L5" s="42"/>
      <x:c r="M5" s="42"/>
      <x:c r="N5" s="42"/>
      <x:c r="O5" s="42"/>
      <x:c r="P5" s="42"/>
      <x:c r="Q5" s="42"/>
      <x:c r="R5" s="42"/>
      <x:c r="S5" s="42"/>
      <x:c r="T5" s="42"/>
      <x:c r="U5" s="42"/>
      <x:c r="V5" s="42"/>
      <x:c r="W5" s="42"/>
      <x:c r="X5" s="43"/>
    </x:row>
    <x:row r="7" ht="44" customHeight="1">
      <x:c r="A7" s="4" t="s">
        <x:v>17</x:v>
      </x:c>
      <x:c r="B7" s="4" t="s">
        <x:v>18</x:v>
      </x:c>
      <x:c r="C7" s="4" t="s">
        <x:v>5</x:v>
      </x:c>
      <x:c r="D7" s="4" t="s">
        <x:v>19</x:v>
      </x:c>
      <x:c r="E7" s="4" t="s">
        <x:v>20</x:v>
      </x:c>
      <x:c r="F7" s="4" t="s">
        <x:v>21</x:v>
      </x:c>
      <x:c r="G7" s="4" t="s">
        <x:v>22</x:v>
      </x:c>
      <x:c r="H7" s="4" t="s">
        <x:v>23</x:v>
      </x:c>
      <x:c r="I7" s="4" t="s">
        <x:v>12</x:v>
      </x:c>
      <x:c r="J7" s="4" t="s">
        <x:v>24</x:v>
      </x:c>
      <x:c r="K7" s="4" t="s">
        <x:v>25</x:v>
      </x:c>
      <x:c r="L7" s="4" t="s">
        <x:v>26</x:v>
      </x:c>
      <x:c r="M7" s="4" t="s">
        <x:v>27</x:v>
      </x:c>
      <x:c r="N7" s="4" t="s">
        <x:v>28</x:v>
      </x:c>
      <x:c r="O7" s="4" t="s">
        <x:v>29</x:v>
      </x:c>
      <x:c r="P7" s="4" t="s">
        <x:v>30</x:v>
      </x:c>
      <x:c r="Q7" s="4" t="s">
        <x:v>31</x:v>
      </x:c>
      <x:c r="R7" s="4" t="s">
        <x:v>32</x:v>
      </x:c>
      <x:c r="S7" s="4" t="s">
        <x:v>33</x:v>
      </x:c>
      <x:c r="T7" s="4" t="s">
        <x:v>34</x:v>
      </x:c>
      <x:c r="U7" s="4" t="s">
        <x:v>35</x:v>
      </x:c>
      <x:c r="V7" s="4" t="s">
        <x:v>36</x:v>
      </x:c>
      <x:c r="W7" s="4" t="s">
        <x:v>37</x:v>
      </x:c>
      <x:c r="X7" s="4" t="s">
        <x:v>38</x:v>
      </x:c>
    </x:row>
    <x:row r="8" ht="58" customHeight="1">
      <x:c r="A8" s="47" t="s">
        <x:v>39</x:v>
      </x:c>
      <x:c r="B8" s="50" t="s">
        <x:v>40</x:v>
      </x:c>
      <x:c r="C8" s="47" t="s">
        <x:v>9</x:v>
      </x:c>
      <x:c r="D8" s="47" t="s">
        <x:v>41</x:v>
      </x:c>
      <x:c r="E8" s="47" t="s">
        <x:v>42</x:v>
      </x:c>
      <x:c r="F8" s="46" t="s">
        <x:v>43</x:v>
      </x:c>
      <x:c r="G8" s="47" t="s">
        <x:v>44</x:v>
      </x:c>
      <x:c r="H8" s="47" t="s">
        <x:v>45</x:v>
      </x:c>
      <x:c r="I8" s="47" t="s">
        <x:v>46</x:v>
      </x:c>
      <x:c r="J8" s="47" t="s">
        <x:v>46</x:v>
      </x:c>
      <x:c r="K8" s="46" t="s">
        <x:v>46</x:v>
      </x:c>
      <x:c r="L8" s="46" t="s">
        <x:v>47</x:v>
      </x:c>
      <x:c r="M8" s="46" t="s">
        <x:v>48</x:v>
      </x:c>
      <x:c r="N8" s="47">
        <x:v>200</x:v>
      </x:c>
      <x:c r="O8" s="46" t="str">
        <x:v>HTTP 200; JSON responseCode 200; a non-empty products array containing product details.</x:v>
      </x:c>
      <x:c r="P8" s="47" t="n">
        <x:v>200</x:v>
      </x:c>
      <x:c r="Q8" s="46" t="str">
        <x:v>200 | products list returned</x:v>
      </x:c>
      <x:c r="R8" s="47" t="n">
        <x:v>530</x:v>
      </x:c>
      <x:c r="S8" s="47" t="str">
        <x:v>Pass</x:v>
      </x:c>
      <x:c r="T8" s="47" t="str">
        <x:v>KM</x:v>
      </x:c>
      <x:c r="U8" s="49" t="n">
        <x:v>46243</x:v>
      </x:c>
      <x:c r="V8" s="54" t="str">
        <x:v>..\Execution Results\Postman Reports\AE-API_Full-Collection_QA_2026-08-09-Run-Summary.md
..\Execution Results\Postman Reports\AE-API_Full-Collection_QA_2026-08-09.reconstructed.postman_run.json
..\Execution Results\Screenshots\API-PRODUCT-001.png
..\..\Automation\Execution Evidence\API-PRODUCT-001.png</x:v>
      </x:c>
      <x:c r="W8" s="47" t="str">
        <x:v>NA</x:v>
      </x:c>
      <x:c r="X8" s="57" t="str">
        <x:v>Fresh Postman collection run passed 3/3 assertions on 2026-08-09. Independent Playwright verification also passed. Historical August 1 evidence remains retained separately.</x:v>
      </x:c>
    </x:row>
    <x:row r="9" ht="58" customHeight="1">
      <x:c r="A9" s="47" t="s">
        <x:v>49</x:v>
      </x:c>
      <x:c r="B9" s="50" t="s">
        <x:v>50</x:v>
      </x:c>
      <x:c r="C9" s="47" t="s">
        <x:v>9</x:v>
      </x:c>
      <x:c r="D9" s="47" t="s">
        <x:v>51</x:v>
      </x:c>
      <x:c r="E9" s="47" t="s">
        <x:v>52</x:v>
      </x:c>
      <x:c r="F9" s="46" t="s">
        <x:v>53</x:v>
      </x:c>
      <x:c r="G9" s="47" t="s">
        <x:v>54</x:v>
      </x:c>
      <x:c r="H9" s="47" t="s">
        <x:v>45</x:v>
      </x:c>
      <x:c r="I9" s="47" t="s">
        <x:v>46</x:v>
      </x:c>
      <x:c r="J9" s="47" t="s">
        <x:v>46</x:v>
      </x:c>
      <x:c r="K9" s="46" t="s">
        <x:v>46</x:v>
      </x:c>
      <x:c r="L9" s="46" t="s">
        <x:v>55</x:v>
      </x:c>
      <x:c r="M9" s="46" t="s">
        <x:v>56</x:v>
      </x:c>
      <x:c r="N9" s="47">
        <x:v>200</x:v>
      </x:c>
      <x:c r="O9" s="46" t="str">
        <x:v>HTTP 200; JSON responseCode 405; message: This request method is not supported.</x:v>
      </x:c>
      <x:c r="P9" s="47" t="n">
        <x:v>200</x:v>
      </x:c>
      <x:c r="Q9" s="46" t="str">
        <x:v>200 transport | responseCode 405 | method not supported</x:v>
      </x:c>
      <x:c r="R9" s="47" t="n">
        <x:v>152</x:v>
      </x:c>
      <x:c r="S9" s="47" t="str">
        <x:v>Pass</x:v>
      </x:c>
      <x:c r="T9" s="47" t="str">
        <x:v>KM</x:v>
      </x:c>
      <x:c r="U9" s="49" t="n">
        <x:v>46243</x:v>
      </x:c>
      <x:c r="V9" s="54" t="str">
        <x:v>..\Execution Results\Postman Reports\AE-API_Full-Collection_QA_2026-08-09-Run-Summary.md
..\Execution Results\Postman Reports\AE-API_Full-Collection_QA_2026-08-09.reconstructed.postman_run.json
..\Execution Results\Screenshots\API-PRODUCT-002.png
..\..\Automation\Execution Evidence\API-PRODUCT-002.png</x:v>
      </x:c>
      <x:c r="W9" s="51" t="str">
        <x:v>BUG-API-001</x:v>
      </x:c>
      <x:c r="X9" s="57" t="str">
        <x:v>Fresh Postman collection run passed 3/3 assertions on 2026-08-09. Independent Playwright verification also passed. Historical August 1 evidence remains retained separately.</x:v>
      </x:c>
    </x:row>
    <x:row r="10" ht="58" customHeight="1">
      <x:c r="A10" s="47" t="s">
        <x:v>57</x:v>
      </x:c>
      <x:c r="B10" s="50" t="s">
        <x:v>58</x:v>
      </x:c>
      <x:c r="C10" s="47" t="s">
        <x:v>10</x:v>
      </x:c>
      <x:c r="D10" s="47" t="s">
        <x:v>41</x:v>
      </x:c>
      <x:c r="E10" s="47" t="s">
        <x:v>42</x:v>
      </x:c>
      <x:c r="F10" s="46" t="s">
        <x:v>59</x:v>
      </x:c>
      <x:c r="G10" s="47" t="s">
        <x:v>44</x:v>
      </x:c>
      <x:c r="H10" s="47" t="s">
        <x:v>60</x:v>
      </x:c>
      <x:c r="I10" s="47" t="s">
        <x:v>46</x:v>
      </x:c>
      <x:c r="J10" s="47" t="s">
        <x:v>46</x:v>
      </x:c>
      <x:c r="K10" s="46" t="s">
        <x:v>46</x:v>
      </x:c>
      <x:c r="L10" s="46" t="s">
        <x:v>55</x:v>
      </x:c>
      <x:c r="M10" s="46" t="s">
        <x:v>61</x:v>
      </x:c>
      <x:c r="N10" s="47">
        <x:v>200</x:v>
      </x:c>
      <x:c r="O10" s="46" t="str">
        <x:v>HTTP 200; JSON responseCode 200; a non-empty brands array containing brand details.</x:v>
      </x:c>
      <x:c r="P10" s="47" t="n">
        <x:v>200</x:v>
      </x:c>
      <x:c r="Q10" s="46" t="str">
        <x:v>200 | brands list returned</x:v>
      </x:c>
      <x:c r="R10" s="47" t="n">
        <x:v>142</x:v>
      </x:c>
      <x:c r="S10" s="47" t="str">
        <x:v>Pass</x:v>
      </x:c>
      <x:c r="T10" s="47" t="str">
        <x:v>KM</x:v>
      </x:c>
      <x:c r="U10" s="49" t="n">
        <x:v>46243</x:v>
      </x:c>
      <x:c r="V10" s="55" t="str">
        <x:v>..\Execution Results\Postman Reports\AE-API_Full-Collection_QA_2026-08-09-Run-Summary.md
..\Execution Results\Postman Reports\AE-API_Full-Collection_QA_2026-08-09.reconstructed.postman_run.json
..\Execution Results\Screenshots\API-BRAND-001.png
..\..\Automation\Execution Evidence\API-BRAND-001.png</x:v>
      </x:c>
      <x:c r="W10" s="47" t="str">
        <x:v>NA</x:v>
      </x:c>
      <x:c r="X10" s="57" t="str">
        <x:v>Fresh Postman collection run passed 3/3 assertions on 2026-08-09. Independent Playwright verification also passed. Historical August 1 evidence remains retained separately.</x:v>
      </x:c>
    </x:row>
    <x:row r="11" ht="58" customHeight="1">
      <x:c r="A11" s="47" t="s">
        <x:v>62</x:v>
      </x:c>
      <x:c r="B11" s="50" t="s">
        <x:v>63</x:v>
      </x:c>
      <x:c r="C11" s="47" t="s">
        <x:v>10</x:v>
      </x:c>
      <x:c r="D11" s="47" t="s">
        <x:v>51</x:v>
      </x:c>
      <x:c r="E11" s="47" t="s">
        <x:v>52</x:v>
      </x:c>
      <x:c r="F11" s="46" t="s">
        <x:v>64</x:v>
      </x:c>
      <x:c r="G11" s="47" t="s">
        <x:v>65</x:v>
      </x:c>
      <x:c r="H11" s="47" t="s">
        <x:v>60</x:v>
      </x:c>
      <x:c r="I11" s="47" t="s">
        <x:v>46</x:v>
      </x:c>
      <x:c r="J11" s="47" t="s">
        <x:v>46</x:v>
      </x:c>
      <x:c r="K11" s="46" t="s">
        <x:v>46</x:v>
      </x:c>
      <x:c r="L11" s="46" t="s">
        <x:v>55</x:v>
      </x:c>
      <x:c r="M11" s="46" t="s">
        <x:v>66</x:v>
      </x:c>
      <x:c r="N11" s="47">
        <x:v>200</x:v>
      </x:c>
      <x:c r="O11" s="46" t="str">
        <x:v>HTTP 200; JSON responseCode 405; message: This request method is not supported.</x:v>
      </x:c>
      <x:c r="P11" s="47" t="n">
        <x:v>200</x:v>
      </x:c>
      <x:c r="Q11" s="46" t="str">
        <x:v>200 transport | responseCode 405 | method not supported</x:v>
      </x:c>
      <x:c r="R11" s="47" t="n">
        <x:v>145</x:v>
      </x:c>
      <x:c r="S11" s="47" t="str">
        <x:v>Pass</x:v>
      </x:c>
      <x:c r="T11" s="47" t="str">
        <x:v>KM</x:v>
      </x:c>
      <x:c r="U11" s="49" t="n">
        <x:v>46243</x:v>
      </x:c>
      <x:c r="V11" s="54" t="str">
        <x:v>..\Execution Results\Postman Reports\AE-API_Full-Collection_QA_2026-08-09-Run-Summary.md
..\Execution Results\Postman Reports\AE-API_Full-Collection_QA_2026-08-09.reconstructed.postman_run.json
..\Execution Results\Screenshots\API-BRAND-002.png
..\..\Automation\Execution Evidence\API-BRAND-002.png</x:v>
      </x:c>
      <x:c r="W11" s="47" t="str">
        <x:v>NA</x:v>
      </x:c>
      <x:c r="X11" s="57" t="str">
        <x:v>Fresh Postman collection run passed 3/3 assertions on 2026-08-09. Independent Playwright verification also passed. Historical August 1 evidence remains retained separately.</x:v>
      </x:c>
    </x:row>
    <x:row r="12" ht="58" customHeight="1">
      <x:c r="A12" s="47" t="s">
        <x:v>67</x:v>
      </x:c>
      <x:c r="B12" s="50" t="s">
        <x:v>68</x:v>
      </x:c>
      <x:c r="C12" s="47" t="s">
        <x:v>11</x:v>
      </x:c>
      <x:c r="D12" s="47" t="s">
        <x:v>41</x:v>
      </x:c>
      <x:c r="E12" s="47" t="s">
        <x:v>42</x:v>
      </x:c>
      <x:c r="F12" s="46" t="s">
        <x:v>69</x:v>
      </x:c>
      <x:c r="G12" s="47" t="s">
        <x:v>54</x:v>
      </x:c>
      <x:c r="H12" s="47" t="s">
        <x:v>70</x:v>
      </x:c>
      <x:c r="I12" s="47" t="s">
        <x:v>46</x:v>
      </x:c>
      <x:c r="J12" s="47" t="s">
        <x:v>71</x:v>
      </x:c>
      <x:c r="K12" s="46" t="s">
        <x:v>72</x:v>
      </x:c>
      <x:c r="L12" s="46" t="s">
        <x:v>55</x:v>
      </x:c>
      <x:c r="M12" s="46" t="s">
        <x:v>73</x:v>
      </x:c>
      <x:c r="N12" s="47">
        <x:v>200</x:v>
      </x:c>
      <x:c r="O12" s="46" t="str">
        <x:v>HTTP 200; JSON responseCode 200; a non-empty products array containing search results.</x:v>
      </x:c>
      <x:c r="P12" s="47" t="n">
        <x:v>200</x:v>
      </x:c>
      <x:c r="Q12" s="46" t="str">
        <x:v>200 | searched products list returned</x:v>
      </x:c>
      <x:c r="R12" s="47" t="n">
        <x:v>173</x:v>
      </x:c>
      <x:c r="S12" s="47" t="str">
        <x:v>Pass</x:v>
      </x:c>
      <x:c r="T12" s="47" t="str">
        <x:v>KM</x:v>
      </x:c>
      <x:c r="U12" s="49" t="n">
        <x:v>46243</x:v>
      </x:c>
      <x:c r="V12" s="54" t="str">
        <x:v>..\Execution Results\Postman Reports\AE-API_Full-Collection_QA_2026-08-09-Run-Summary.md
..\Execution Results\Postman Reports\AE-API_Full-Collection_QA_2026-08-09.reconstructed.postman_run.json
..\Execution Results\Screenshots\API-SEARCH-001.png
..\..\Automation\Execution Evidence\API-SEARCH-001.png</x:v>
      </x:c>
      <x:c r="W12" s="47" t="str">
        <x:v>NA</x:v>
      </x:c>
      <x:c r="X12" s="57" t="str">
        <x:v>Fresh Postman collection run passed 3/3 assertions on 2026-08-09. Independent Playwright verification also passed. Historical August 1 evidence remains retained separately.</x:v>
      </x:c>
    </x:row>
    <x:row r="13" ht="58" customHeight="1">
      <x:c r="A13" s="47" t="s">
        <x:v>74</x:v>
      </x:c>
      <x:c r="B13" s="50" t="s">
        <x:v>75</x:v>
      </x:c>
      <x:c r="C13" s="47" t="s">
        <x:v>11</x:v>
      </x:c>
      <x:c r="D13" s="47" t="s">
        <x:v>51</x:v>
      </x:c>
      <x:c r="E13" s="47" t="s">
        <x:v>42</x:v>
      </x:c>
      <x:c r="F13" s="46" t="s">
        <x:v>76</x:v>
      </x:c>
      <x:c r="G13" s="47" t="s">
        <x:v>54</x:v>
      </x:c>
      <x:c r="H13" s="47" t="s">
        <x:v>70</x:v>
      </x:c>
      <x:c r="I13" s="47" t="s">
        <x:v>46</x:v>
      </x:c>
      <x:c r="J13" s="47" t="s">
        <x:v>71</x:v>
      </x:c>
      <x:c r="K13" s="46" t="s">
        <x:v>77</x:v>
      </x:c>
      <x:c r="L13" s="46" t="s">
        <x:v>55</x:v>
      </x:c>
      <x:c r="M13" s="46" t="s">
        <x:v>78</x:v>
      </x:c>
      <x:c r="N13" s="47">
        <x:v>200</x:v>
      </x:c>
      <x:c r="O13" s="46" t="str">
        <x:v>HTTP 200; JSON responseCode 400; message: Bad request, search_product parameter is missing in POST request.</x:v>
      </x:c>
      <x:c r="P13" s="47" t="n">
        <x:v>200</x:v>
      </x:c>
      <x:c r="Q13" s="46" t="str">
        <x:v>200 transport | responseCode 400 | missing search_product message returned</x:v>
      </x:c>
      <x:c r="R13" s="47" t="n">
        <x:v>149</x:v>
      </x:c>
      <x:c r="S13" s="47" t="str">
        <x:v>Pass</x:v>
      </x:c>
      <x:c r="T13" s="47" t="str">
        <x:v>KM</x:v>
      </x:c>
      <x:c r="U13" s="49" t="n">
        <x:v>46243</x:v>
      </x:c>
      <x:c r="V13" s="56" t="str">
        <x:v>..\Execution Results\Postman Reports\AE-API_Full-Collection_QA_2026-08-09-Run-Summary.md
..\Execution Results\Postman Reports\AE-API_Full-Collection_QA_2026-08-09.reconstructed.postman_run.json
..\Execution Results\Screenshots\API-SEARCH-002.png
..\..\Automation\Execution Evidence\API-SEARCH-002.png</x:v>
      </x:c>
      <x:c r="W13" s="51" t="str">
        <x:v>BUG-API-002</x:v>
      </x:c>
      <x:c r="X13" s="57" t="str">
        <x:v>Fresh Postman collection run passed 3/3 assertions on 2026-08-09. Independent Playwright verification also passed. Historical August 1 evidence remains retained separately.</x:v>
      </x:c>
    </x:row>
    <x:row r="14" ht="58" customHeight="1">
      <x:c r="A14" s="47" t="s">
        <x:v>79</x:v>
      </x:c>
      <x:c r="B14" s="50" t="s">
        <x:v>80</x:v>
      </x:c>
      <x:c r="C14" s="47" t="s">
        <x:v>12</x:v>
      </x:c>
      <x:c r="D14" s="47" t="s">
        <x:v>41</x:v>
      </x:c>
      <x:c r="E14" s="47" t="s">
        <x:v>81</x:v>
      </x:c>
      <x:c r="F14" s="46" t="s">
        <x:v>82</x:v>
      </x:c>
      <x:c r="G14" s="47" t="s">
        <x:v>54</x:v>
      </x:c>
      <x:c r="H14" s="47" t="s">
        <x:v>83</x:v>
      </x:c>
      <x:c r="I14" s="47" t="s">
        <x:v>46</x:v>
      </x:c>
      <x:c r="J14" s="47" t="s">
        <x:v>71</x:v>
      </x:c>
      <x:c r="K14" s="46" t="s">
        <x:v>84</x:v>
      </x:c>
      <x:c r="L14" s="46" t="s">
        <x:v>85</x:v>
      </x:c>
      <x:c r="M14" s="46" t="s">
        <x:v>86</x:v>
      </x:c>
      <x:c r="N14" s="47">
        <x:v>200</x:v>
      </x:c>
      <x:c r="O14" s="46" t="str">
        <x:v>HTTP 200; JSON responseCode 200; message: User exists!</x:v>
      </x:c>
      <x:c r="P14" s="47" t="n">
        <x:v>200</x:v>
      </x:c>
      <x:c r="Q14" s="46" t="str">
        <x:v>200 transport | responseCode 200 | User exists!</x:v>
      </x:c>
      <x:c r="R14" s="47" t="n">
        <x:v>150</x:v>
      </x:c>
      <x:c r="S14" s="47" t="str">
        <x:v>Pass</x:v>
      </x:c>
      <x:c r="T14" s="47" t="str">
        <x:v>KM</x:v>
      </x:c>
      <x:c r="U14" s="49" t="n">
        <x:v>46243</x:v>
      </x:c>
      <x:c r="V14" s="54" t="str">
        <x:v>..\Execution Results\Postman Reports\AE-API_Full-Collection_QA_2026-08-09-Run-Summary.md
..\Execution Results\Postman Reports\AE-API_Full-Collection_QA_2026-08-09.reconstructed.postman_run.json
..\Execution Results\Screenshots\API-AUTH-001.png
..\..\Automation\Execution Evidence\API-AUTH-001.png</x:v>
      </x:c>
      <x:c r="W14" s="47" t="str">
        <x:v>NA</x:v>
      </x:c>
      <x:c r="X14" s="57" t="str">
        <x:v>Fresh Postman collection run passed 3/3 assertions on 2026-08-09. Independent Playwright verification also passed. Historical August 1 evidence remains retained separately.</x:v>
      </x:c>
    </x:row>
    <x:row r="15" ht="58" customHeight="1">
      <x:c r="A15" s="47" t="s">
        <x:v>87</x:v>
      </x:c>
      <x:c r="B15" s="50" t="s">
        <x:v>88</x:v>
      </x:c>
      <x:c r="C15" s="47" t="s">
        <x:v>12</x:v>
      </x:c>
      <x:c r="D15" s="47" t="s">
        <x:v>51</x:v>
      </x:c>
      <x:c r="E15" s="47" t="s">
        <x:v>42</x:v>
      </x:c>
      <x:c r="F15" s="46" t="s">
        <x:v>89</x:v>
      </x:c>
      <x:c r="G15" s="47" t="s">
        <x:v>54</x:v>
      </x:c>
      <x:c r="H15" s="47" t="s">
        <x:v>83</x:v>
      </x:c>
      <x:c r="I15" s="47" t="s">
        <x:v>46</x:v>
      </x:c>
      <x:c r="J15" s="47" t="s">
        <x:v>71</x:v>
      </x:c>
      <x:c r="K15" s="46" t="s">
        <x:v>90</x:v>
      </x:c>
      <x:c r="L15" s="46" t="s">
        <x:v>91</x:v>
      </x:c>
      <x:c r="M15" s="46" t="s">
        <x:v>92</x:v>
      </x:c>
      <x:c r="N15" s="47">
        <x:v>200</x:v>
      </x:c>
      <x:c r="O15" s="46" t="str">
        <x:v>HTTP 200; JSON responseCode 400; message: Bad request, email or password parameter is missing in POST request.</x:v>
      </x:c>
      <x:c r="P15" s="47" t="n">
        <x:v>200</x:v>
      </x:c>
      <x:c r="Q15" s="46" t="str">
        <x:v>200 transport | responseCode 400 | missing credential message returned</x:v>
      </x:c>
      <x:c r="R15" s="47" t="n">
        <x:v>140</x:v>
      </x:c>
      <x:c r="S15" s="47" t="str">
        <x:v>Pass</x:v>
      </x:c>
      <x:c r="T15" s="47" t="str">
        <x:v>KM</x:v>
      </x:c>
      <x:c r="U15" s="49" t="n">
        <x:v>46243</x:v>
      </x:c>
      <x:c r="V15" s="54" t="str">
        <x:v>..\Execution Results\Postman Reports\AE-API_Full-Collection_QA_2026-08-09-Run-Summary.md
..\Execution Results\Postman Reports\AE-API_Full-Collection_QA_2026-08-09.reconstructed.postman_run.json
..\Execution Results\Screenshots\API-AUTH-002.png
..\..\Automation\Execution Evidence\API-AUTH-002.png</x:v>
      </x:c>
      <x:c r="W15" s="47" t="str">
        <x:v>NA</x:v>
      </x:c>
      <x:c r="X15" s="57" t="str">
        <x:v>Fresh Postman collection run passed 3/3 assertions on 2026-08-09. Independent Playwright verification also passed. Historical August 1 evidence remains retained separately.</x:v>
      </x:c>
    </x:row>
    <x:row r="16" ht="58" customHeight="1">
      <x:c r="A16" s="47" t="s">
        <x:v>93</x:v>
      </x:c>
      <x:c r="B16" s="50" t="s">
        <x:v>94</x:v>
      </x:c>
      <x:c r="C16" s="47" t="s">
        <x:v>12</x:v>
      </x:c>
      <x:c r="D16" s="47" t="s">
        <x:v>51</x:v>
      </x:c>
      <x:c r="E16" s="47" t="s">
        <x:v>52</x:v>
      </x:c>
      <x:c r="F16" s="46" t="s">
        <x:v>95</x:v>
      </x:c>
      <x:c r="G16" s="47" t="s">
        <x:v>96</x:v>
      </x:c>
      <x:c r="H16" s="47" t="s">
        <x:v>83</x:v>
      </x:c>
      <x:c r="I16" s="47" t="s">
        <x:v>46</x:v>
      </x:c>
      <x:c r="J16" s="47" t="s">
        <x:v>46</x:v>
      </x:c>
      <x:c r="K16" s="46" t="s">
        <x:v>46</x:v>
      </x:c>
      <x:c r="L16" s="46" t="s">
        <x:v>55</x:v>
      </x:c>
      <x:c r="M16" s="46" t="s">
        <x:v>97</x:v>
      </x:c>
      <x:c r="N16" s="47">
        <x:v>200</x:v>
      </x:c>
      <x:c r="O16" s="46" t="str">
        <x:v>HTTP 200; JSON responseCode 405; message: This request method is not supported.</x:v>
      </x:c>
      <x:c r="P16" s="47" t="n">
        <x:v>200</x:v>
      </x:c>
      <x:c r="Q16" s="46" t="str">
        <x:v>200 transport | responseCode 405 | method not supported</x:v>
      </x:c>
      <x:c r="R16" s="47" t="n">
        <x:v>136</x:v>
      </x:c>
      <x:c r="S16" s="47" t="str">
        <x:v>Pass</x:v>
      </x:c>
      <x:c r="T16" s="47" t="str">
        <x:v>KM</x:v>
      </x:c>
      <x:c r="U16" s="49" t="n">
        <x:v>46243</x:v>
      </x:c>
      <x:c r="V16" s="54" t="str">
        <x:v>..\Execution Results\Postman Reports\AE-API_Full-Collection_QA_2026-08-09-Run-Summary.md
..\Execution Results\Postman Reports\AE-API_Full-Collection_QA_2026-08-09.reconstructed.postman_run.json
..\Execution Results\Screenshots\API-AUTH-003.png
..\..\Automation\Execution Evidence\API-AUTH-003.png</x:v>
      </x:c>
      <x:c r="W16" s="47" t="str">
        <x:v>NA</x:v>
      </x:c>
      <x:c r="X16" s="57" t="str">
        <x:v>Fresh Postman collection run passed 3/3 assertions on 2026-08-09. Independent Playwright verification also passed. Historical August 1 evidence remains retained separately.</x:v>
      </x:c>
    </x:row>
    <x:row r="17" ht="58" customHeight="1">
      <x:c r="A17" s="47" t="s">
        <x:v>98</x:v>
      </x:c>
      <x:c r="B17" s="50" t="s">
        <x:v>99</x:v>
      </x:c>
      <x:c r="C17" s="47" t="s">
        <x:v>12</x:v>
      </x:c>
      <x:c r="D17" s="47" t="s">
        <x:v>51</x:v>
      </x:c>
      <x:c r="E17" s="47" t="s">
        <x:v>42</x:v>
      </x:c>
      <x:c r="F17" s="46" t="s">
        <x:v>100</x:v>
      </x:c>
      <x:c r="G17" s="47" t="s">
        <x:v>54</x:v>
      </x:c>
      <x:c r="H17" s="47" t="s">
        <x:v>83</x:v>
      </x:c>
      <x:c r="I17" s="47" t="s">
        <x:v>46</x:v>
      </x:c>
      <x:c r="J17" s="47" t="s">
        <x:v>71</x:v>
      </x:c>
      <x:c r="K17" s="46" t="s">
        <x:v>101</x:v>
      </x:c>
      <x:c r="L17" s="46" t="s">
        <x:v>102</x:v>
      </x:c>
      <x:c r="M17" s="46" t="s">
        <x:v>103</x:v>
      </x:c>
      <x:c r="N17" s="47">
        <x:v>200</x:v>
      </x:c>
      <x:c r="O17" s="46" t="str">
        <x:v>HTTP 200; JSON responseCode 404; message: User not found!</x:v>
      </x:c>
      <x:c r="P17" s="47" t="n">
        <x:v>200</x:v>
      </x:c>
      <x:c r="Q17" s="46" t="str">
        <x:v>200 transport | responseCode 404 | User not found!</x:v>
      </x:c>
      <x:c r="R17" s="47" t="n">
        <x:v>148</x:v>
      </x:c>
      <x:c r="S17" s="47" t="str">
        <x:v>Pass</x:v>
      </x:c>
      <x:c r="T17" s="47" t="str">
        <x:v>KM</x:v>
      </x:c>
      <x:c r="U17" s="49" t="n">
        <x:v>46243</x:v>
      </x:c>
      <x:c r="V17" s="54" t="str">
        <x:v>..\Execution Results\Postman Reports\AE-API_Full-Collection_QA_2026-08-09-Run-Summary.md
..\Execution Results\Postman Reports\AE-API_Full-Collection_QA_2026-08-09.reconstructed.postman_run.json
..\Execution Results\Screenshots\API-AUTH-004.png
..\..\Automation\Execution Evidence\API-AUTH-004.png</x:v>
      </x:c>
      <x:c r="W17" s="47" t="str">
        <x:v>NA</x:v>
      </x:c>
      <x:c r="X17" s="57" t="str">
        <x:v>Fresh Postman collection run passed 3/3 assertions on 2026-08-09. Independent Playwright verification also passed. Historical August 1 evidence remains retained separately.</x:v>
      </x:c>
    </x:row>
    <x:row r="18" ht="58" customHeight="1">
      <x:c r="A18" s="47" t="s">
        <x:v>104</x:v>
      </x:c>
      <x:c r="B18" s="50" t="s">
        <x:v>105</x:v>
      </x:c>
      <x:c r="C18" s="47" t="s">
        <x:v>13</x:v>
      </x:c>
      <x:c r="D18" s="47" t="s">
        <x:v>41</x:v>
      </x:c>
      <x:c r="E18" s="47" t="s">
        <x:v>81</x:v>
      </x:c>
      <x:c r="F18" s="46" t="s">
        <x:v>106</x:v>
      </x:c>
      <x:c r="G18" s="47" t="s">
        <x:v>54</x:v>
      </x:c>
      <x:c r="H18" s="47" t="s">
        <x:v>107</x:v>
      </x:c>
      <x:c r="I18" s="47" t="s">
        <x:v>46</x:v>
      </x:c>
      <x:c r="J18" s="47" t="s">
        <x:v>71</x:v>
      </x:c>
      <x:c r="K18" s="46" t="s">
        <x:v>108</x:v>
      </x:c>
      <x:c r="L18" s="46" t="s">
        <x:v>109</x:v>
      </x:c>
      <x:c r="M18" s="46" t="s">
        <x:v>110</x:v>
      </x:c>
      <x:c r="N18" s="47">
        <x:v>200</x:v>
      </x:c>
      <x:c r="O18" s="46" t="str">
        <x:v>HTTP 200; JSON responseCode 201; message: User created!</x:v>
      </x:c>
      <x:c r="P18" s="47" t="n">
        <x:v>200</x:v>
      </x:c>
      <x:c r="Q18" s="46" t="str">
        <x:v>200 transport | responseCode 201 | User created!</x:v>
      </x:c>
      <x:c r="R18" s="47" t="n">
        <x:v>160</x:v>
      </x:c>
      <x:c r="S18" s="47" t="str">
        <x:v>Pass</x:v>
      </x:c>
      <x:c r="T18" s="47" t="str">
        <x:v>KM</x:v>
      </x:c>
      <x:c r="U18" s="49" t="n">
        <x:v>46243</x:v>
      </x:c>
      <x:c r="V18" s="54" t="str">
        <x:v>..\Execution Results\Postman Reports\AE-API_Full-Collection_QA_2026-08-09-Run-Summary.md
..\Execution Results\Postman Reports\AE-API_Full-Collection_QA_2026-08-09.reconstructed.postman_run.json
..\Execution Results\Screenshots\API-ACCOUNT-001.png
..\..\Automation\Execution Evidence\API-ACCOUNT-001.png</x:v>
      </x:c>
      <x:c r="W18" s="47" t="str">
        <x:v>NA</x:v>
      </x:c>
      <x:c r="X18" s="57" t="str">
        <x:v>Fresh Postman collection run passed 3/3 assertions on 2026-08-09. Independent Playwright verification also passed. Historical August 1 evidence remains retained separately.</x:v>
      </x:c>
    </x:row>
    <x:row r="19" ht="58" customHeight="1">
      <x:c r="A19" s="47" t="s">
        <x:v>111</x:v>
      </x:c>
      <x:c r="B19" s="50" t="s">
        <x:v>112</x:v>
      </x:c>
      <x:c r="C19" s="47" t="s">
        <x:v>13</x:v>
      </x:c>
      <x:c r="D19" s="47" t="s">
        <x:v>41</x:v>
      </x:c>
      <x:c r="E19" s="47" t="s">
        <x:v>81</x:v>
      </x:c>
      <x:c r="F19" s="46" t="s">
        <x:v>113</x:v>
      </x:c>
      <x:c r="G19" s="47" t="s">
        <x:v>96</x:v>
      </x:c>
      <x:c r="H19" s="47" t="s">
        <x:v>114</x:v>
      </x:c>
      <x:c r="I19" s="47" t="s">
        <x:v>46</x:v>
      </x:c>
      <x:c r="J19" s="47" t="s">
        <x:v>71</x:v>
      </x:c>
      <x:c r="K19" s="46" t="s">
        <x:v>115</x:v>
      </x:c>
      <x:c r="L19" s="46" t="s">
        <x:v>116</x:v>
      </x:c>
      <x:c r="M19" s="46" t="s">
        <x:v>117</x:v>
      </x:c>
      <x:c r="N19" s="47">
        <x:v>200</x:v>
      </x:c>
      <x:c r="O19" s="46" t="str">
        <x:v>HTTP 200; JSON responseCode 200; message: Account deleted!</x:v>
      </x:c>
      <x:c r="P19" s="47" t="n">
        <x:v>200</x:v>
      </x:c>
      <x:c r="Q19" s="46" t="str">
        <x:v>200 transport | responseCode 200 | Account deleted!</x:v>
      </x:c>
      <x:c r="R19" s="47" t="n">
        <x:v>146</x:v>
      </x:c>
      <x:c r="S19" s="47" t="str">
        <x:v>Pass</x:v>
      </x:c>
      <x:c r="T19" s="47" t="str">
        <x:v>KM</x:v>
      </x:c>
      <x:c r="U19" s="49" t="n">
        <x:v>46243</x:v>
      </x:c>
      <x:c r="V19" s="54" t="str">
        <x:v>..\Execution Results\Postman Reports\AE-API_Full-Collection_QA_2026-08-09-Run-Summary.md
..\Execution Results\Postman Reports\AE-API_Full-Collection_QA_2026-08-09.reconstructed.postman_run.json
..\Execution Results\Screenshots\API-ACCOUNT-002.png
..\..\Automation\Execution Evidence\API-ACCOUNT-002.png</x:v>
      </x:c>
      <x:c r="W19" s="47" t="str">
        <x:v>NA</x:v>
      </x:c>
      <x:c r="X19" s="57" t="str">
        <x:v>Fresh Postman collection run passed 3/3 assertions on 2026-08-09. Independent Playwright verification also passed. Historical August 1 evidence remains retained separately.</x:v>
      </x:c>
    </x:row>
    <x:row r="20" ht="58" customHeight="1">
      <x:c r="A20" s="47" t="s">
        <x:v>118</x:v>
      </x:c>
      <x:c r="B20" s="50" t="s">
        <x:v>119</x:v>
      </x:c>
      <x:c r="C20" s="47" t="s">
        <x:v>13</x:v>
      </x:c>
      <x:c r="D20" s="47" t="s">
        <x:v>41</x:v>
      </x:c>
      <x:c r="E20" s="47" t="s">
        <x:v>42</x:v>
      </x:c>
      <x:c r="F20" s="46" t="s">
        <x:v>120</x:v>
      </x:c>
      <x:c r="G20" s="47" t="s">
        <x:v>65</x:v>
      </x:c>
      <x:c r="H20" s="47" t="s">
        <x:v>121</x:v>
      </x:c>
      <x:c r="I20" s="47" t="s">
        <x:v>46</x:v>
      </x:c>
      <x:c r="J20" s="47" t="s">
        <x:v>71</x:v>
      </x:c>
      <x:c r="K20" s="46" t="s">
        <x:v>122</x:v>
      </x:c>
      <x:c r="L20" s="46" t="s">
        <x:v>116</x:v>
      </x:c>
      <x:c r="M20" s="46" t="s">
        <x:v>123</x:v>
      </x:c>
      <x:c r="N20" s="47">
        <x:v>200</x:v>
      </x:c>
      <x:c r="O20" s="46" t="str">
        <x:v>HTTP 200; JSON responseCode 200; message: User updated!</x:v>
      </x:c>
      <x:c r="P20" s="47" t="n">
        <x:v>200</x:v>
      </x:c>
      <x:c r="Q20" s="46" t="str">
        <x:v>200 transport | responseCode 200 | User updated!</x:v>
      </x:c>
      <x:c r="R20" s="47" t="n">
        <x:v>160</x:v>
      </x:c>
      <x:c r="S20" s="47" t="str">
        <x:v>Pass</x:v>
      </x:c>
      <x:c r="T20" s="47" t="str">
        <x:v>KM</x:v>
      </x:c>
      <x:c r="U20" s="49" t="n">
        <x:v>46243</x:v>
      </x:c>
      <x:c r="V20" s="54" t="str">
        <x:v>..\Execution Results\Postman Reports\AE-API_Full-Collection_QA_2026-08-09-Run-Summary.md
..\Execution Results\Postman Reports\AE-API_Full-Collection_QA_2026-08-09.reconstructed.postman_run.json
..\Execution Results\Screenshots\API-ACCOUNT-003.png
..\..\Automation\Execution Evidence\API-ACCOUNT-003.png</x:v>
      </x:c>
      <x:c r="W20" s="47" t="str">
        <x:v>NA</x:v>
      </x:c>
      <x:c r="X20" s="57" t="str">
        <x:v>Fresh Postman collection run passed 3/3 assertions on 2026-08-09. Independent Playwright verification also passed. Historical August 1 evidence remains retained separately.</x:v>
      </x:c>
    </x:row>
    <x:row r="21" ht="58" customHeight="1">
      <x:c r="A21" s="47" t="s">
        <x:v>124</x:v>
      </x:c>
      <x:c r="B21" s="50" t="s">
        <x:v>125</x:v>
      </x:c>
      <x:c r="C21" s="47" t="s">
        <x:v>13</x:v>
      </x:c>
      <x:c r="D21" s="47" t="s">
        <x:v>41</x:v>
      </x:c>
      <x:c r="E21" s="47" t="s">
        <x:v>42</x:v>
      </x:c>
      <x:c r="F21" s="46" t="s">
        <x:v>126</x:v>
      </x:c>
      <x:c r="G21" s="47" t="s">
        <x:v>44</x:v>
      </x:c>
      <x:c r="H21" s="47" t="s">
        <x:v>127</x:v>
      </x:c>
      <x:c r="I21" s="47" t="s">
        <x:v>46</x:v>
      </x:c>
      <x:c r="J21" s="47" t="s">
        <x:v>46</x:v>
      </x:c>
      <x:c r="K21" s="46" t="s">
        <x:v>128</x:v>
      </x:c>
      <x:c r="L21" s="46" t="s">
        <x:v>129</x:v>
      </x:c>
      <x:c r="M21" s="46" t="s">
        <x:v>130</x:v>
      </x:c>
      <x:c r="N21" s="47">
        <x:v>200</x:v>
      </x:c>
      <x:c r="O21" s="46" t="str">
        <x:v>HTTP 200; JSON responseCode 200; User Detail JSON for the requested email.</x:v>
      </x:c>
      <x:c r="P21" s="47" t="n">
        <x:v>200</x:v>
      </x:c>
      <x:c r="Q21" s="46" t="str">
        <x:v>200 transport | responseCode 200 | user detail returned</x:v>
      </x:c>
      <x:c r="R21" s="47" t="n">
        <x:v>139</x:v>
      </x:c>
      <x:c r="S21" s="47" t="str">
        <x:v>Pass</x:v>
      </x:c>
      <x:c r="T21" s="47" t="str">
        <x:v>KM</x:v>
      </x:c>
      <x:c r="U21" s="49" t="n">
        <x:v>46243</x:v>
      </x:c>
      <x:c r="V21" s="54" t="str">
        <x:v>..\Execution Results\Postman Reports\AE-API_Full-Collection_QA_2026-08-09-Run-Summary.md
..\Execution Results\Postman Reports\AE-API_Full-Collection_QA_2026-08-09.reconstructed.postman_run.json
..\Execution Results\Screenshots\API-ACCOUNT-004.png
..\..\Automation\Execution Evidence\API-ACCOUNT-004.png</x:v>
      </x:c>
      <x:c r="W21" s="47" t="str">
        <x:v>NA</x:v>
      </x:c>
      <x:c r="X21" s="57" t="str">
        <x:v>Fresh Postman collection run passed 3/3 assertions on 2026-08-09. Independent Playwright verification also passed. Historical August 1 evidence remains retained separately.</x:v>
      </x:c>
    </x:row>
  </x:sheetData>
  <x:mergeCells>
    <x:mergeCell ref="A1:X1"/>
    <x:mergeCell ref="A2:X2"/>
    <x:mergeCell ref="A4:H5"/>
    <x:mergeCell ref="J4:X5"/>
  </x:mergeCells>
  <x:conditionalFormatting sqref="E8:E107">
    <x:cfRule type="containsText" dxfId="30" priority="6" operator="containsText" text="Critical"/>
    <x:cfRule type="containsText" dxfId="29" priority="7" operator="containsText" text="High"/>
  </x:conditionalFormatting>
  <x:conditionalFormatting sqref="S8:S107">
    <x:cfRule type="containsText" dxfId="28" priority="1" operator="containsText" text="Pass"/>
    <x:cfRule type="containsText" dxfId="27" priority="2" operator="containsText" text="Fail"/>
    <x:cfRule type="containsText" dxfId="26" priority="3" operator="containsText" text="Blocked"/>
    <x:cfRule type="containsText" dxfId="25" priority="4" operator="containsText" text="Not Run"/>
    <x:cfRule type="containsText" dxfId="24" priority="5" operator="containsText" text="Retest"/>
  </x:conditionalFormatting>
  <x:pageMargins left="0.7" right="0.7" top="0.75" bottom="0.75" header="0.3" footer="0.3"/>
  <x:tableParts count="1">
    <x:tablePart xmlns:r="http://schemas.openxmlformats.org/officeDocument/2006/relationships" r:id="Reb97224d8f2340d9"/>
  </x:tableParts>
</x:worksheet>
</file>

<file path=xl/worksheets/sheet3.xml><?xml version="1.0" encoding="utf-8"?>
<x:worksheet xmlns:x="http://schemas.openxmlformats.org/spreadsheetml/2006/main">
  <x:sheetViews>
    <x:sheetView showGridLines="0" workbookViewId="0"/>
  </x:sheetViews>
  <x:sheetFormatPr defaultRowHeight="14"/>
  <x:cols>
    <x:col min="1" max="1" width="24" customWidth="1"/>
    <x:col min="2" max="2" width="16" customWidth="1"/>
    <x:col min="3" max="3" width="28" customWidth="1"/>
    <x:col min="4" max="4" width="58" customWidth="1"/>
    <x:col min="5" max="8" width="4" customWidth="1"/>
  </x:cols>
  <x:sheetData>
    <x:row r="1" ht="36" customHeight="1">
      <x:c r="A1" s="11" t="s">
        <x:v>131</x:v>
      </x:c>
      <x:c r="B1" s="11"/>
      <x:c r="C1" s="11"/>
      <x:c r="D1" s="11"/>
      <x:c r="E1" s="11"/>
      <x:c r="F1" s="11"/>
      <x:c r="G1" s="11"/>
      <x:c r="H1" s="11"/>
    </x:row>
    <x:row r="3" ht="15.5">
      <x:c r="A3" s="44" t="s">
        <x:v>132</x:v>
      </x:c>
      <x:c r="B3" s="44"/>
      <x:c r="C3" s="44"/>
      <x:c r="D3" s="44"/>
      <x:c r="E3" s="44"/>
      <x:c r="F3" s="44"/>
      <x:c r="G3" s="44"/>
      <x:c r="H3" s="44"/>
    </x:row>
    <x:row r="4" ht="24" customHeight="1">
      <x:c r="A4" s="23" t="str">
        <x:v>1. Select the Automation Exercise QA environment in Postman.
2. Open the request and confirm method, endpoint, parameters, body, and required variables.
3. Send the request and verify transport HTTP 200 separately from the documented JSON responseCode and payload.
4. Record the Actual HTTP Status, Actual Response, and Response Time.
5. Save sanitized evidence using the Test Case ID as the filename.
6. Select Pass, Fail, Blocked, or Retest; enter executor and date.
7. For a confirmed failure, create a defect report, enter the Defect ID, and update the RTM after triage.</x:v>
      </x:c>
      <x:c r="B4" s="24"/>
      <x:c r="C4" s="24"/>
      <x:c r="D4" s="24"/>
      <x:c r="E4" s="24"/>
      <x:c r="F4" s="24"/>
      <x:c r="G4" s="24"/>
      <x:c r="H4" s="25"/>
    </x:row>
    <x:row r="5" ht="24" customHeight="1">
      <x:c r="A5" s="26"/>
      <x:c r="B5" s="27"/>
      <x:c r="C5" s="27"/>
      <x:c r="D5" s="27"/>
      <x:c r="E5" s="27"/>
      <x:c r="F5" s="27"/>
      <x:c r="G5" s="27"/>
      <x:c r="H5" s="28"/>
    </x:row>
    <x:row r="6" ht="24" customHeight="1">
      <x:c r="A6" s="26"/>
      <x:c r="B6" s="27"/>
      <x:c r="C6" s="27"/>
      <x:c r="D6" s="27"/>
      <x:c r="E6" s="27"/>
      <x:c r="F6" s="27"/>
      <x:c r="G6" s="27"/>
      <x:c r="H6" s="28"/>
    </x:row>
    <x:row r="7" ht="24" customHeight="1">
      <x:c r="A7" s="26"/>
      <x:c r="B7" s="27"/>
      <x:c r="C7" s="27"/>
      <x:c r="D7" s="27"/>
      <x:c r="E7" s="27"/>
      <x:c r="F7" s="27"/>
      <x:c r="G7" s="27"/>
      <x:c r="H7" s="28"/>
    </x:row>
    <x:row r="8" ht="24" customHeight="1">
      <x:c r="A8" s="26"/>
      <x:c r="B8" s="27"/>
      <x:c r="C8" s="27"/>
      <x:c r="D8" s="27"/>
      <x:c r="E8" s="27"/>
      <x:c r="F8" s="27"/>
      <x:c r="G8" s="27"/>
      <x:c r="H8" s="28"/>
    </x:row>
    <x:row r="9" ht="24" customHeight="1">
      <x:c r="A9" s="29"/>
      <x:c r="B9" s="30"/>
      <x:c r="C9" s="30"/>
      <x:c r="D9" s="30"/>
      <x:c r="E9" s="30"/>
      <x:c r="F9" s="30"/>
      <x:c r="G9" s="30"/>
      <x:c r="H9" s="31"/>
    </x:row>
    <x:row r="11">
      <x:c r="A11" s="5" t="s">
        <x:v>133</x:v>
      </x:c>
      <x:c r="B11" s="6" t="s">
        <x:v>134</x:v>
      </x:c>
      <x:c r="C11" s="6" t="s">
        <x:v>135</x:v>
      </x:c>
      <x:c r="D11" s="7" t="s">
        <x:v>136</x:v>
      </x:c>
    </x:row>
    <x:row r="12" ht="42" customHeight="1">
      <x:c r="A12" s="47" t="s">
        <x:v>17</x:v>
      </x:c>
      <x:c r="B12" s="47" t="s">
        <x:v>137</x:v>
      </x:c>
      <x:c r="C12" s="47" t="s">
        <x:v>138</x:v>
      </x:c>
      <x:c r="D12" s="47" t="s">
        <x:v>139</x:v>
      </x:c>
    </x:row>
    <x:row r="13" ht="42" customHeight="1">
      <x:c r="A13" s="47" t="s">
        <x:v>18</x:v>
      </x:c>
      <x:c r="B13" s="47" t="s">
        <x:v>137</x:v>
      </x:c>
      <x:c r="C13" s="47" t="s">
        <x:v>140</x:v>
      </x:c>
      <x:c r="D13" s="47" t="s">
        <x:v>141</x:v>
      </x:c>
    </x:row>
    <x:row r="14" ht="42" customHeight="1">
      <x:c r="A14" s="47" t="s">
        <x:v>142</x:v>
      </x:c>
      <x:c r="B14" s="47" t="s">
        <x:v>137</x:v>
      </x:c>
      <x:c r="C14" s="47" t="s">
        <x:v>143</x:v>
      </x:c>
      <x:c r="D14" s="47" t="s">
        <x:v>144</x:v>
      </x:c>
    </x:row>
    <x:row r="15" ht="42" customHeight="1">
      <x:c r="A15" s="47" t="s">
        <x:v>25</x:v>
      </x:c>
      <x:c r="B15" s="47" t="s">
        <x:v>145</x:v>
      </x:c>
      <x:c r="C15" s="47" t="s">
        <x:v>146</x:v>
      </x:c>
      <x:c r="D15" s="47" t="s">
        <x:v>147</x:v>
      </x:c>
    </x:row>
    <x:row r="16" ht="42" customHeight="1">
      <x:c r="A16" s="47" t="s">
        <x:v>28</x:v>
      </x:c>
      <x:c r="B16" s="47" t="s">
        <x:v>137</x:v>
      </x:c>
      <x:c r="C16" s="47" t="s">
        <x:v>148</x:v>
      </x:c>
      <x:c r="D16" s="47" t="str">
        <x:v>Use HTTP 200 for this application. Record the official scenario code inside Expected Response as the JSON responseCode.</x:v>
      </x:c>
    </x:row>
    <x:row r="17" ht="42" customHeight="1">
      <x:c r="A17" s="47" t="s">
        <x:v>30</x:v>
      </x:c>
      <x:c r="B17" s="47" t="s">
        <x:v>149</x:v>
      </x:c>
      <x:c r="C17" s="47" t="s">
        <x:v>150</x:v>
      </x:c>
      <x:c r="D17" s="47" t="s">
        <x:v>151</x:v>
      </x:c>
    </x:row>
    <x:row r="18" ht="42" customHeight="1">
      <x:c r="A18" s="47" t="s">
        <x:v>31</x:v>
      </x:c>
      <x:c r="B18" s="47" t="s">
        <x:v>149</x:v>
      </x:c>
      <x:c r="C18" s="47" t="s">
        <x:v>152</x:v>
      </x:c>
      <x:c r="D18" s="47" t="s">
        <x:v>153</x:v>
      </x:c>
    </x:row>
    <x:row r="19" ht="42" customHeight="1">
      <x:c r="A19" s="47" t="s">
        <x:v>154</x:v>
      </x:c>
      <x:c r="B19" s="47" t="s">
        <x:v>149</x:v>
      </x:c>
      <x:c r="C19" s="47" t="s">
        <x:v>155</x:v>
      </x:c>
      <x:c r="D19" s="47" t="s">
        <x:v>156</x:v>
      </x:c>
    </x:row>
    <x:row r="20" ht="42" customHeight="1">
      <x:c r="A20" s="47" t="s">
        <x:v>33</x:v>
      </x:c>
      <x:c r="B20" s="47" t="s">
        <x:v>137</x:v>
      </x:c>
      <x:c r="C20" s="47" t="s">
        <x:v>157</x:v>
      </x:c>
      <x:c r="D20" s="47" t="s">
        <x:v>158</x:v>
      </x:c>
    </x:row>
    <x:row r="21" ht="42" customHeight="1">
      <x:c r="A21" s="47" t="s">
        <x:v>159</x:v>
      </x:c>
      <x:c r="B21" s="47" t="s">
        <x:v>149</x:v>
      </x:c>
      <x:c r="C21" s="47" t="s">
        <x:v>160</x:v>
      </x:c>
      <x:c r="D21" s="47" t="s">
        <x:v>161</x:v>
      </x:c>
    </x:row>
    <x:row r="22" ht="42" customHeight="1">
      <x:c r="A22" s="47" t="s">
        <x:v>37</x:v>
      </x:c>
      <x:c r="B22" s="47" t="s">
        <x:v>162</x:v>
      </x:c>
      <x:c r="C22" s="47" t="s">
        <x:v>163</x:v>
      </x:c>
      <x:c r="D22" s="47" t="s">
        <x:v>164</x:v>
      </x:c>
    </x:row>
    <x:row r="23" ht="42" customHeight="1">
      <x:c r="A23" s="47" t="s">
        <x:v>38</x:v>
      </x:c>
      <x:c r="B23" s="47" t="s">
        <x:v>165</x:v>
      </x:c>
      <x:c r="C23" s="47" t="s">
        <x:v>166</x:v>
      </x:c>
      <x:c r="D23" s="47" t="s">
        <x:v>167</x:v>
      </x:c>
    </x:row>
  </x:sheetData>
  <x:mergeCells>
    <x:mergeCell ref="A1:H1"/>
    <x:mergeCell ref="A3:H3"/>
    <x:mergeCell ref="A4:H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4"/>
  <x:cols>
    <x:col min="1" max="1" width="24" customWidth="1"/>
    <x:col min="2" max="2" width="22" customWidth="1"/>
    <x:col min="3" max="3" width="16" customWidth="1"/>
    <x:col min="4" max="4" width="14" customWidth="1"/>
    <x:col min="5" max="5" width="16" customWidth="1"/>
  </x:cols>
  <x:sheetData>
    <x:row r="1">
      <x:c r="A1" s="8" t="s">
        <x:v>168</x:v>
      </x:c>
      <x:c r="B1" s="9" t="s">
        <x:v>169</x:v>
      </x:c>
      <x:c r="C1" s="9" t="s">
        <x:v>170</x:v>
      </x:c>
      <x:c r="D1" s="9" t="s">
        <x:v>171</x:v>
      </x:c>
      <x:c r="E1" s="10" t="s">
        <x:v>172</x:v>
      </x:c>
    </x:row>
    <x:row r="2">
      <x:c r="A2" s="48" t="s">
        <x:v>9</x:v>
      </x:c>
      <x:c r="B2" s="48" t="s">
        <x:v>41</x:v>
      </x:c>
      <x:c r="C2" s="48" t="s">
        <x:v>81</x:v>
      </x:c>
      <x:c r="D2" s="48" t="s">
        <x:v>44</x:v>
      </x:c>
      <x:c r="E2" s="48" t="s">
        <x:v>4</x:v>
      </x:c>
    </x:row>
    <x:row r="3">
      <x:c r="A3" s="48" t="s">
        <x:v>10</x:v>
      </x:c>
      <x:c r="B3" s="48" t="s">
        <x:v>51</x:v>
      </x:c>
      <x:c r="C3" s="48" t="s">
        <x:v>42</x:v>
      </x:c>
      <x:c r="D3" s="48" t="s">
        <x:v>54</x:v>
      </x:c>
      <x:c r="E3" s="48" t="s">
        <x:v>173</x:v>
      </x:c>
    </x:row>
    <x:row r="4">
      <x:c r="A4" s="48" t="s">
        <x:v>11</x:v>
      </x:c>
      <x:c r="B4" s="48"/>
      <x:c r="C4" s="48" t="s">
        <x:v>52</x:v>
      </x:c>
      <x:c r="D4" s="48" t="s">
        <x:v>65</x:v>
      </x:c>
      <x:c r="E4" s="48" t="s">
        <x:v>174</x:v>
      </x:c>
    </x:row>
    <x:row r="5">
      <x:c r="A5" s="48" t="s">
        <x:v>12</x:v>
      </x:c>
      <x:c r="B5" s="48"/>
      <x:c r="C5" s="48" t="s">
        <x:v>175</x:v>
      </x:c>
      <x:c r="D5" s="48" t="s">
        <x:v>96</x:v>
      </x:c>
      <x:c r="E5" s="48" t="s">
        <x:v>176</x:v>
      </x:c>
    </x:row>
    <x:row r="6">
      <x:c r="A6" s="48" t="s">
        <x:v>13</x:v>
      </x:c>
      <x:c r="B6" s="48"/>
      <x:c r="C6" s="48"/>
      <x:c r="D6" s="48"/>
      <x:c r="E6" s="48" t="s">
        <x:v>177</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5" hidden="0" customWidth="1"/>
    <x:col min="2" max="2" width="42" hidden="0" customWidth="1"/>
    <x:col min="3" max="3" width="14" hidden="0" customWidth="1"/>
    <x:col min="4" max="4" width="14" hidden="0" customWidth="1"/>
    <x:col min="5" max="5" width="4" hidden="0" customWidth="1"/>
    <x:col min="6" max="6" width="24" hidden="0" customWidth="1"/>
    <x:col min="7" max="7" width="30" hidden="0" customWidth="1"/>
    <x:col min="8" max="8" width="42" hidden="0" customWidth="1"/>
  </x:cols>
  <x:sheetData>
    <x:row r="1">
      <x:c r="A1" s="76" t="str">
        <x:v>Automation Exercise | API Execution Summary</x:v>
      </x:c>
      <x:c r="B1" s="76"/>
      <x:c r="C1" s="76"/>
      <x:c r="D1" s="76"/>
      <x:c r="E1" s="76"/>
      <x:c r="F1" s="76"/>
      <x:c r="G1" s="76"/>
      <x:c r="H1" s="76"/>
    </x:row>
    <x:row r="2">
      <x:c r="A2" s="77" t="str">
        <x:v>Reconciled 2026-08-09 | clean Postman execution, independent Playwright verification, historical baseline, evidence, and defect disposition</x:v>
      </x:c>
      <x:c r="B2" s="77"/>
      <x:c r="C2" s="77"/>
      <x:c r="D2" s="77"/>
      <x:c r="E2" s="77"/>
      <x:c r="F2" s="77"/>
      <x:c r="G2" s="77"/>
      <x:c r="H2" s="77"/>
    </x:row>
    <x:row r="3">
      <x:c r="A3" s="78"/>
      <x:c r="B3" s="78"/>
      <x:c r="C3" s="78"/>
      <x:c r="D3" s="78"/>
      <x:c r="E3" s="78"/>
      <x:c r="F3" s="78"/>
      <x:c r="G3" s="78"/>
      <x:c r="H3" s="78"/>
    </x:row>
    <x:row r="4">
      <x:c r="A4" s="78" t="str">
        <x:v>Current requirement result</x:v>
      </x:c>
      <x:c r="B4" s="78" t="str">
        <x:v>14 Passed | 0 Failed | 0 Not Run</x:v>
      </x:c>
      <x:c r="C4" s="78"/>
      <x:c r="D4" s="78"/>
      <x:c r="E4" s="78"/>
      <x:c r="F4" s="79" t="str">
        <x:v>Evidence source</x:v>
      </x:c>
      <x:c r="G4" s="79" t="str">
        <x:v>Purpose</x:v>
      </x:c>
      <x:c r="H4" s="79" t="str">
        <x:v>Location</x:v>
      </x:c>
    </x:row>
    <x:row r="5">
      <x:c r="A5" s="78" t="str">
        <x:v>Clean Postman runner</x:v>
      </x:c>
      <x:c r="B5" s="78" t="str">
        <x:v>14 requests | 42 assertions | 42 passed | 0 failed | 0 errors</x:v>
      </x:c>
      <x:c r="C5" s="78"/>
      <x:c r="D5" s="78"/>
      <x:c r="E5" s="78"/>
      <x:c r="F5" s="78" t="str">
        <x:v>Clean Postman run</x:v>
      </x:c>
      <x:c r="G5" s="78" t="str">
        <x:v>Current 42/42 verification</x:v>
      </x:c>
      <x:c r="H5" s="78" t="str">
        <x:v>Execution Results\Postman Reports\AE-API_Full-Collection_QA_2026-08-09-Run-Summary.md</x:v>
      </x:c>
    </x:row>
    <x:row r="6">
      <x:c r="A6" s="78" t="str">
        <x:v>Current Playwright verification</x:v>
      </x:c>
      <x:c r="B6" s="78" t="str">
        <x:v>14 of 14 canonical API scenarios passed</x:v>
      </x:c>
      <x:c r="C6" s="78"/>
      <x:c r="D6" s="78"/>
      <x:c r="E6" s="78"/>
      <x:c r="F6" s="78" t="str">
        <x:v>Reconstructed run JSON</x:v>
      </x:c>
      <x:c r="G6" s="78" t="str">
        <x:v>Request-level runner record</x:v>
      </x:c>
      <x:c r="H6" s="78" t="str">
        <x:v>Execution Results\Postman Reports\AE-API_Full-Collection_QA_2026-08-09.reconstructed.postman_run.json</x:v>
      </x:c>
    </x:row>
    <x:row r="7">
      <x:c r="A7" s="78" t="str">
        <x:v>Historical Postman baseline</x:v>
      </x:c>
      <x:c r="B7" s="78" t="str">
        <x:v>37 assertions | 28 passed | 9 failed | 2 runner errors</x:v>
      </x:c>
      <x:c r="C7" s="78"/>
      <x:c r="D7" s="78"/>
      <x:c r="E7" s="78"/>
      <x:c r="F7" s="78" t="str">
        <x:v>Playwright API validation</x:v>
      </x:c>
      <x:c r="G7" s="78" t="str">
        <x:v>Independent current verification</x:v>
      </x:c>
      <x:c r="H7" s="78" t="str">
        <x:v>..\..\Automation\Execution Evidence</x:v>
      </x:c>
    </x:row>
    <x:row r="8">
      <x:c r="A8" s="78" t="str">
        <x:v>API defect disposition</x:v>
      </x:c>
      <x:c r="B8" s="78" t="str">
        <x:v>0 open | 2 rejected: BUG-API-001, BUG-API-002</x:v>
      </x:c>
      <x:c r="C8" s="78"/>
      <x:c r="D8" s="78"/>
      <x:c r="E8" s="78"/>
      <x:c r="F8" s="78" t="str">
        <x:v>Historical Postman baseline</x:v>
      </x:c>
      <x:c r="G8" s="78" t="str">
        <x:v>Audit and reconciliation history</x:v>
      </x:c>
      <x:c r="H8" s="78" t="str">
        <x:v>Execution Results\Postman Reports\AE-API_Full-Collection_QA_2026-08-01-Run-Summary.md</x:v>
      </x:c>
    </x:row>
    <x:row r="9">
      <x:c r="A9" s="78"/>
      <x:c r="B9" s="78"/>
      <x:c r="C9" s="78"/>
      <x:c r="D9" s="78"/>
      <x:c r="E9" s="78"/>
      <x:c r="F9" s="78"/>
      <x:c r="G9" s="78"/>
      <x:c r="H9" s="78"/>
    </x:row>
    <x:row r="10">
      <x:c r="A10" s="79" t="str">
        <x:v>Module</x:v>
      </x:c>
      <x:c r="B10" s="79" t="str">
        <x:v>Requirements</x:v>
      </x:c>
      <x:c r="C10" s="79" t="str">
        <x:v>Passed</x:v>
      </x:c>
      <x:c r="D10" s="79" t="str">
        <x:v>Coverage</x:v>
      </x:c>
      <x:c r="E10" s="78"/>
      <x:c r="F10" s="78"/>
      <x:c r="G10" s="78"/>
      <x:c r="H10" s="78"/>
    </x:row>
    <x:row r="11">
      <x:c r="A11" s="78" t="str">
        <x:v>Products</x:v>
      </x:c>
      <x:c r="B11" s="78" t="n">
        <x:v>2</x:v>
      </x:c>
      <x:c r="C11" s="78" t="n">
        <x:v>2</x:v>
      </x:c>
      <x:c r="D11" s="78" t="str">
        <x:v>100%</x:v>
      </x:c>
      <x:c r="E11" s="78"/>
      <x:c r="F11" s="78"/>
      <x:c r="G11" s="78"/>
      <x:c r="H11" s="78"/>
    </x:row>
    <x:row r="12">
      <x:c r="A12" s="78" t="str">
        <x:v>Brands</x:v>
      </x:c>
      <x:c r="B12" s="78" t="n">
        <x:v>2</x:v>
      </x:c>
      <x:c r="C12" s="78" t="n">
        <x:v>2</x:v>
      </x:c>
      <x:c r="D12" s="78" t="str">
        <x:v>100%</x:v>
      </x:c>
      <x:c r="E12" s="78"/>
      <x:c r="F12" s="78"/>
      <x:c r="G12" s="78"/>
      <x:c r="H12" s="78"/>
    </x:row>
    <x:row r="13">
      <x:c r="A13" s="78" t="str">
        <x:v>Product Search</x:v>
      </x:c>
      <x:c r="B13" s="78" t="n">
        <x:v>2</x:v>
      </x:c>
      <x:c r="C13" s="78" t="n">
        <x:v>2</x:v>
      </x:c>
      <x:c r="D13" s="78" t="str">
        <x:v>100%</x:v>
      </x:c>
      <x:c r="E13" s="78"/>
      <x:c r="F13" s="78"/>
      <x:c r="G13" s="78"/>
      <x:c r="H13" s="78"/>
    </x:row>
    <x:row r="14">
      <x:c r="A14" s="78" t="str">
        <x:v>Authentication</x:v>
      </x:c>
      <x:c r="B14" s="78" t="n">
        <x:v>4</x:v>
      </x:c>
      <x:c r="C14" s="78" t="n">
        <x:v>4</x:v>
      </x:c>
      <x:c r="D14" s="78" t="str">
        <x:v>100%</x:v>
      </x:c>
      <x:c r="E14" s="78"/>
      <x:c r="F14" s="78"/>
      <x:c r="G14" s="78"/>
      <x:c r="H14" s="78"/>
    </x:row>
    <x:row r="15">
      <x:c r="A15" s="78" t="str">
        <x:v>Account Management</x:v>
      </x:c>
      <x:c r="B15" s="78" t="n">
        <x:v>4</x:v>
      </x:c>
      <x:c r="C15" s="78" t="n">
        <x:v>4</x:v>
      </x:c>
      <x:c r="D15" s="78" t="str">
        <x:v>100%</x:v>
      </x:c>
      <x:c r="E15" s="78"/>
      <x:c r="F15" s="78"/>
      <x:c r="G15" s="78"/>
      <x:c r="H15" s="78"/>
    </x:row>
    <x:row r="16">
      <x:c r="A16" s="78"/>
      <x:c r="B16" s="78"/>
      <x:c r="C16" s="78"/>
      <x:c r="D16" s="78"/>
      <x:c r="E16" s="78"/>
      <x:c r="F16" s="78"/>
      <x:c r="G16" s="78"/>
      <x:c r="H16" s="78"/>
    </x:row>
    <x:row r="17">
      <x:c r="A17" s="80" t="str">
        <x:v>Interpretation note</x:v>
      </x:c>
      <x:c r="B17" s="80"/>
      <x:c r="C17" s="80"/>
      <x:c r="D17" s="80"/>
      <x:c r="E17" s="80"/>
      <x:c r="F17" s="80"/>
      <x:c r="G17" s="80"/>
      <x:c r="H17" s="80"/>
    </x:row>
    <x:row r="18" ht="28" customHeight="1">
      <x:c r="A18" s="81" t="str">
        <x:v>Automation Exercise returns HTTP transport status 200 for these endpoints and places the documented scenario result in the JSON responseCode field. The corrected Postman collection now verifies both layers independently. The clean 2026-08-09 run passed 42 of 42 assertions; the 2026-08-01 failures remain preserved as historical test-script, credential, and configuration evidence rather than confirmed product defects.</x:v>
      </x:c>
      <x:c r="B18" s="81"/>
      <x:c r="C18" s="81"/>
      <x:c r="D18" s="81"/>
      <x:c r="E18" s="81"/>
      <x:c r="F18" s="81"/>
      <x:c r="G18" s="81"/>
      <x:c r="H18" s="81"/>
    </x:row>
    <x:row r="19" ht="28" customHeight="1">
      <x:c r="A19" s="81"/>
      <x:c r="B19" s="81"/>
      <x:c r="C19" s="81"/>
      <x:c r="D19" s="81"/>
      <x:c r="E19" s="81"/>
      <x:c r="F19" s="81"/>
      <x:c r="G19" s="81"/>
      <x:c r="H19" s="81"/>
    </x:row>
    <x:row r="20" ht="28" customHeight="1">
      <x:c r="A20" s="81"/>
      <x:c r="B20" s="81"/>
      <x:c r="C20" s="81"/>
      <x:c r="D20" s="81"/>
      <x:c r="E20" s="81"/>
      <x:c r="F20" s="81"/>
      <x:c r="G20" s="81"/>
      <x:c r="H20" s="81"/>
    </x:row>
    <x:row r="21">
      <x:c r="A21" s="78"/>
      <x:c r="B21" s="78"/>
      <x:c r="C21" s="78"/>
      <x:c r="D21" s="78"/>
      <x:c r="E21" s="78"/>
      <x:c r="F21" s="78"/>
      <x:c r="G21" s="78"/>
      <x:c r="H21" s="78"/>
    </x:row>
    <x:row r="22">
      <x:c r="A22" s="82" t="str">
        <x:v>QA sign-off | all 14 official API requirements are traceable, executed, evidenced, and currently passing in both Postman and Playwright. Clean Postman run: 42/42 assertions passed on 2026-08-09 with zero errors.</x:v>
      </x:c>
      <x:c r="B22" s="82"/>
      <x:c r="C22" s="82"/>
      <x:c r="D22" s="82"/>
      <x:c r="E22" s="82"/>
      <x:c r="F22" s="82"/>
      <x:c r="G22" s="82"/>
      <x:c r="H22" s="82"/>
    </x:row>
  </x:sheetData>
  <x:mergeCells>
    <x:mergeCell ref="A1:H1"/>
    <x:mergeCell ref="A2:H2"/>
    <x:mergeCell ref="A17:H17"/>
    <x:mergeCell ref="A18:H20"/>
    <x:mergeCell ref="A22:H22"/>
  </x:mergeCells>
  <x:pageMargins left="0.7" right="0.7" top="0.75" bottom="0.75" header="0.3" footer="0.3"/>
</x:worksheet>
</file>