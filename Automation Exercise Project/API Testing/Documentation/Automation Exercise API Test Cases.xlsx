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Users\kgmcm\OneDrive\Desktop\QA Portfolio\Qa-Portfolio\Automation Exercise Project\API Testing\Documentation\"/>
    </mc:Choice>
  </mc:AlternateContent>
  <xr:revisionPtr revIDLastSave="0" documentId="13_ncr:1_{D4F15AB9-3243-4A83-BD33-68382D91F2C4}" xr6:coauthVersionLast="47" xr6:coauthVersionMax="47" xr10:uidLastSave="{00000000-0000-0000-0000-000000000000}"/>
  <bookViews>
    <workbookView xWindow="-90" yWindow="0" windowWidth="19380" windowHeight="20970" activeTab="1" xr2:uid="{00000000-000D-0000-FFFF-FFFF00000000}"/>
  </bookViews>
  <sheets>
    <sheet name="Overview" sheetId="1" r:id="rId1"/>
    <sheet name="API Test Cases" sheetId="2" r:id="rId2"/>
    <sheet name="Instructions" sheetId="3" r:id="rId3"/>
    <sheet name="Lists"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3" i="1" l="1"/>
  <c r="B13" i="1"/>
  <c r="C12" i="1"/>
  <c r="B12" i="1"/>
  <c r="C11" i="1"/>
  <c r="B11" i="1"/>
  <c r="C10" i="1"/>
  <c r="B10" i="1"/>
  <c r="C9" i="1"/>
  <c r="B9" i="1"/>
  <c r="M5" i="1"/>
  <c r="I5" i="1"/>
  <c r="E5" i="1"/>
  <c r="A5" i="1"/>
  <c r="D11" i="1" l="1"/>
  <c r="D13" i="1"/>
  <c r="D12" i="1"/>
  <c r="D10" i="1"/>
  <c r="D9" i="1"/>
</calcChain>
</file>

<file path=xl/sharedStrings.xml><?xml version="1.0" encoding="utf-8"?>
<sst xmlns="http://schemas.openxmlformats.org/spreadsheetml/2006/main" count="405" uniqueCount="242">
  <si>
    <t>Automation Exercise — API Test Execution Overview</t>
  </si>
  <si>
    <t>Postman API testing mapped to REQ-API-001 through REQ-API-014 | Portfolio execution workbook</t>
  </si>
  <si>
    <t>Total API Cases</t>
  </si>
  <si>
    <t>Passed</t>
  </si>
  <si>
    <t>Failed</t>
  </si>
  <si>
    <t>Not Run</t>
  </si>
  <si>
    <t>Module</t>
  </si>
  <si>
    <t>Total</t>
  </si>
  <si>
    <t>Remaining</t>
  </si>
  <si>
    <t>Execution Guidance</t>
  </si>
  <si>
    <t>Products</t>
  </si>
  <si>
    <t>Execute one request at a time in Postman. Record the observed HTTP status, response body summary, response time, status, executor, date, and evidence path. If a result fails, create a defect and enter its ID. Never place real passwords, tokens, or personal data in this workbook or screenshots.</t>
  </si>
  <si>
    <t>Brands</t>
  </si>
  <si>
    <t>Product Search</t>
  </si>
  <si>
    <t>Authentication</t>
  </si>
  <si>
    <t>Account Management</t>
  </si>
  <si>
    <t>Automation Exercise — API Test Cases</t>
  </si>
  <si>
    <t>Official API scenarios prepared for Postman execution | API-PRODUCT-001 is the completed example</t>
  </si>
  <si>
    <t>Execution standard: record both the HTTP status and any responseCode inside the JSON. Use objective language for Actual Response and link sanitized evidence for every executed case.</t>
  </si>
  <si>
    <t>Evidence naming: &lt;Test Case ID&gt;.png  |  Defect naming: BUG-API-###  |  Credentials remain in Postman secret variables only.</t>
  </si>
  <si>
    <t>Test Case ID</t>
  </si>
  <si>
    <t>Requirement ID</t>
  </si>
  <si>
    <t>Test Type</t>
  </si>
  <si>
    <t>Priority</t>
  </si>
  <si>
    <t>Title / Objective</t>
  </si>
  <si>
    <t>Method</t>
  </si>
  <si>
    <t>Endpoint</t>
  </si>
  <si>
    <t>Headers</t>
  </si>
  <si>
    <t>Parameters / Body</t>
  </si>
  <si>
    <t>Preconditions</t>
  </si>
  <si>
    <t>Test Steps</t>
  </si>
  <si>
    <t>Expected HTTP Status</t>
  </si>
  <si>
    <t>Expected Response</t>
  </si>
  <si>
    <t>Actual HTTP Status</t>
  </si>
  <si>
    <t>Actual Response</t>
  </si>
  <si>
    <t>Response Time (ms)</t>
  </si>
  <si>
    <t>Status</t>
  </si>
  <si>
    <t>Executed By</t>
  </si>
  <si>
    <t>Execution Date</t>
  </si>
  <si>
    <t>Evidence / Screenshot</t>
  </si>
  <si>
    <t>Defect ID</t>
  </si>
  <si>
    <t>Notes</t>
  </si>
  <si>
    <t>API-PRODUCT-001</t>
  </si>
  <si>
    <t>REQ-API-001</t>
  </si>
  <si>
    <t>API — Positive</t>
  </si>
  <si>
    <t>High</t>
  </si>
  <si>
    <t>Verify retrieval of the complete products list</t>
  </si>
  <si>
    <t>GET</t>
  </si>
  <si>
    <t>{{base_url}}/productsList</t>
  </si>
  <si>
    <t>None</t>
  </si>
  <si>
    <t>1. Automation Exercise QA environment is selected.
2. base_url is configured.
3. API service is available.</t>
  </si>
  <si>
    <t>1. Open API-PRODUCT-001 in Postman.
2. Confirm GET and {{base_url}}/productsList.
3. Click Send.
4. Verify the HTTP status.
5. Verify responseCode and products in the JSON body.</t>
  </si>
  <si>
    <t>HTTP 200; JSON responseCode 200; a non-empty products array containing product details.</t>
  </si>
  <si>
    <t>Pass</t>
  </si>
  <si>
    <t>KM</t>
  </si>
  <si>
    <t>../Execution Results/Screenshots/API-PRODUCT-001.png</t>
  </si>
  <si>
    <t>NA</t>
  </si>
  <si>
    <t>Initial manual Postman execution. Response size displayed as 1.81 KB.</t>
  </si>
  <si>
    <t>API-PRODUCT-002</t>
  </si>
  <si>
    <t>REQ-API-002</t>
  </si>
  <si>
    <t>API — Negative</t>
  </si>
  <si>
    <t>Medium</t>
  </si>
  <si>
    <t>Verify POST is rejected for the products-list endpoint</t>
  </si>
  <si>
    <t>POST</t>
  </si>
  <si>
    <t>Automation Exercise QA environment is selected and the API is available.</t>
  </si>
  <si>
    <t>1. Open the request.
2. Confirm POST.
3. Click Send.
4. Compare the response with the expected method-not-supported response.</t>
  </si>
  <si>
    <t>Response message: This request method is not supported.</t>
  </si>
  <si>
    <t>API-BRAND-001</t>
  </si>
  <si>
    <t>REQ-API-003</t>
  </si>
  <si>
    <t>Verify retrieval of the complete brands list</t>
  </si>
  <si>
    <t>{{base_url}}/brandsList</t>
  </si>
  <si>
    <t>1. Open the request.
2. Confirm GET.
3. Click Send.
4. Verify the status and brands list.</t>
  </si>
  <si>
    <t>HTTP 200 with all brands list.</t>
  </si>
  <si>
    <t>API-BRAND-002</t>
  </si>
  <si>
    <t>REQ-API-004</t>
  </si>
  <si>
    <t>Verify PUT is rejected for the brands-list endpoint</t>
  </si>
  <si>
    <t>PUT</t>
  </si>
  <si>
    <t>1. Open the request.
2. Confirm PUT.
3. Click Send.
4. Verify the method-not-supported response.</t>
  </si>
  <si>
    <t>API-SEARCH-001</t>
  </si>
  <si>
    <t>REQ-API-005</t>
  </si>
  <si>
    <t>Verify products can be searched using a valid search_product value</t>
  </si>
  <si>
    <t>{{base_url}}/searchProduct</t>
  </si>
  <si>
    <t>Content-Type: application/x-www-form-urlencoded</t>
  </si>
  <si>
    <t>search_product=top</t>
  </si>
  <si>
    <t>1. Open the request.
2. Confirm POST and search_product data.
3. Click Send.
4. Verify status and searched products.</t>
  </si>
  <si>
    <t>HTTP 200 with searched products list.</t>
  </si>
  <si>
    <t>API-SEARCH-002</t>
  </si>
  <si>
    <t>REQ-API-006</t>
  </si>
  <si>
    <t>Parameter intentionally omitted</t>
  </si>
  <si>
    <t>1. Open the request.
2. Confirm search_product is absent.
3. Click Send.
4. Verify the missing-parameter response.</t>
  </si>
  <si>
    <t>Bad request, search_product parameter is missing in POST request.</t>
  </si>
  <si>
    <t>API-AUTH-001</t>
  </si>
  <si>
    <t>REQ-API-007</t>
  </si>
  <si>
    <t>Critical</t>
  </si>
  <si>
    <t>Verify login API with valid credentials</t>
  </si>
  <si>
    <t>{{base_url}}/verifyLogin</t>
  </si>
  <si>
    <t>email={{valid_email}}; password={{valid_password}}</t>
  </si>
  <si>
    <t>A valid dedicated QA account exists and environment credentials are configured.</t>
  </si>
  <si>
    <t>1. Open the request.
2. Confirm valid email and password variables.
3. Click Send.
4. Verify status and User exists message.</t>
  </si>
  <si>
    <t>Response message: User exists!</t>
  </si>
  <si>
    <t>API-AUTH-002</t>
  </si>
  <si>
    <t>REQ-API-008</t>
  </si>
  <si>
    <t>Verify login validation when email is omitted</t>
  </si>
  <si>
    <t>password={{valid_password}}; email omitted</t>
  </si>
  <si>
    <t>Environment is selected and a safe password variable is configured.</t>
  </si>
  <si>
    <t>1. Open the request.
2. Confirm email is absent.
3. Click Send.
4. Verify the missing-parameter response.</t>
  </si>
  <si>
    <t>Bad request, email or password parameter is missing in POST request.</t>
  </si>
  <si>
    <t>API-AUTH-003</t>
  </si>
  <si>
    <t>REQ-API-009</t>
  </si>
  <si>
    <t>Verify DELETE is rejected for the login-verification endpoint</t>
  </si>
  <si>
    <t>DELETE</t>
  </si>
  <si>
    <t>1. Open the request.
2. Confirm DELETE.
3. Click Send.
4. Verify the method-not-supported response.</t>
  </si>
  <si>
    <t>API-AUTH-004</t>
  </si>
  <si>
    <t>REQ-API-010</t>
  </si>
  <si>
    <t>Verify login API rejects invalid credentials</t>
  </si>
  <si>
    <t>email={{invalid_email}}; password={{invalid_password}}</t>
  </si>
  <si>
    <t>Invalid test credential variables are configured.</t>
  </si>
  <si>
    <t>1. Open the request.
2. Confirm invalid credential variables.
3. Click Send.
4. Verify status and User not found message.</t>
  </si>
  <si>
    <t>Response message: User not found!</t>
  </si>
  <si>
    <t>API-ACCOUNT-001</t>
  </si>
  <si>
    <t>REQ-API-011</t>
  </si>
  <si>
    <t>Verify a user account can be created through the API</t>
  </si>
  <si>
    <t>{{base_url}}/createAccount</t>
  </si>
  <si>
    <t>Required account fields from environment and request body</t>
  </si>
  <si>
    <t>A unique disposable email is configured and no account currently uses it.</t>
  </si>
  <si>
    <t>1. Confirm all required account fields.
2. Click Send.
3. Verify status and User created message.
4. Preserve sanitized evidence.</t>
  </si>
  <si>
    <t>Response message: User created!</t>
  </si>
  <si>
    <t>Use only a disposable QA account.</t>
  </si>
  <si>
    <t>API-ACCOUNT-002</t>
  </si>
  <si>
    <t>REQ-API-012</t>
  </si>
  <si>
    <t>Verify a user account can be deleted through the API</t>
  </si>
  <si>
    <t>{{base_url}}/deleteAccount</t>
  </si>
  <si>
    <t>email={{account_email}}; password={{account_password}}</t>
  </si>
  <si>
    <t>A disposable QA account exists and its credentials are configured.</t>
  </si>
  <si>
    <t>1. Confirm the disposable account values.
2. Click Send.
3. Verify status and Account deleted message.</t>
  </si>
  <si>
    <t>Response message: Account deleted!</t>
  </si>
  <si>
    <t>API-ACCOUNT-003</t>
  </si>
  <si>
    <t>REQ-API-013</t>
  </si>
  <si>
    <t>Verify a user account can be updated through the API</t>
  </si>
  <si>
    <t>{{base_url}}/updateAccount</t>
  </si>
  <si>
    <t>Required account fields with updated values</t>
  </si>
  <si>
    <t>1. Confirm account and updated field values.
2. Click Send.
3. Verify status and User updated message.</t>
  </si>
  <si>
    <t>Response message: User updated!</t>
  </si>
  <si>
    <t>API-ACCOUNT-004</t>
  </si>
  <si>
    <t>REQ-API-014</t>
  </si>
  <si>
    <t>Verify user-account details can be retrieved by email</t>
  </si>
  <si>
    <t>{{base_url}}/getUserDetailByEmail</t>
  </si>
  <si>
    <t>email={{account_email}}</t>
  </si>
  <si>
    <t>A disposable QA account exists and its email is configured.</t>
  </si>
  <si>
    <t>1. Confirm the account email parameter.
2. Click Send.
3. Verify status and returned user details.</t>
  </si>
  <si>
    <t>HTTP 200 with User Detail JSON.</t>
  </si>
  <si>
    <t>API Test Workbook — Usage Guide</t>
  </si>
  <si>
    <t>Execution Workflow</t>
  </si>
  <si>
    <t>1. Select the Automation Exercise QA environment in Postman.
2. Open the request and confirm method, endpoint, parameters, body, and required variables.
3. Send the request and compare the HTTP status and response payload with the expected result.
4. Record the Actual HTTP Status, Actual Response, and Response Time.
5. Save sanitized evidence using the Test Case ID as the filename.
6. Select Pass, Fail, Blocked, or Retest; enter executor and date.
7. For a failure, create a defect report, enter the Defect ID, and update the RTM after triage.</t>
  </si>
  <si>
    <t>Field</t>
  </si>
  <si>
    <t>Required?</t>
  </si>
  <si>
    <t>Purpose</t>
  </si>
  <si>
    <t>Entry Guidance</t>
  </si>
  <si>
    <t>Yes</t>
  </si>
  <si>
    <t>Traceability</t>
  </si>
  <si>
    <t>Use the RTM-mapped API identifier.</t>
  </si>
  <si>
    <t>Requirement mapping</t>
  </si>
  <si>
    <t>Use REQ-API-001 through REQ-API-014.</t>
  </si>
  <si>
    <t>Method / Endpoint</t>
  </si>
  <si>
    <t>Request definition</t>
  </si>
  <si>
    <t>Record the method and environment-based endpoint.</t>
  </si>
  <si>
    <t>When applicable</t>
  </si>
  <si>
    <t>Repeatability</t>
  </si>
  <si>
    <t>List safe values or variable names; never store secrets.</t>
  </si>
  <si>
    <t>Pass/fail oracle</t>
  </si>
  <si>
    <t>Use the official scenario's expected code.</t>
  </si>
  <si>
    <t>After execution</t>
  </si>
  <si>
    <t>Observed result</t>
  </si>
  <si>
    <t>Enter the status returned by Postman.</t>
  </si>
  <si>
    <t>Evidence summary</t>
  </si>
  <si>
    <t>Summarize what was observed; do not copy expected text without verifying.</t>
  </si>
  <si>
    <t>Response Time</t>
  </si>
  <si>
    <t>Basic performance observation</t>
  </si>
  <si>
    <t>Record Postman's displayed duration in milliseconds.</t>
  </si>
  <si>
    <t>Execution outcome</t>
  </si>
  <si>
    <t>Use Pass, Fail, Blocked, Retest, or Not Run.</t>
  </si>
  <si>
    <t>Evidence</t>
  </si>
  <si>
    <t>Audit trail</t>
  </si>
  <si>
    <t>Use a relative path to a sanitized screenshot or report.</t>
  </si>
  <si>
    <t>If failed</t>
  </si>
  <si>
    <t>Defect traceability</t>
  </si>
  <si>
    <t>Use BUG-API-###; otherwise enter NA.</t>
  </si>
  <si>
    <t>Optional</t>
  </si>
  <si>
    <t>Context</t>
  </si>
  <si>
    <t>Capture anomalies, dependencies, cleanup, or retest information.</t>
  </si>
  <si>
    <t>Modules</t>
  </si>
  <si>
    <t>Test Types</t>
  </si>
  <si>
    <t>Priorities</t>
  </si>
  <si>
    <t>Methods</t>
  </si>
  <si>
    <t>Statuses</t>
  </si>
  <si>
    <t>Fail</t>
  </si>
  <si>
    <t>Low</t>
  </si>
  <si>
    <t>Blocked</t>
  </si>
  <si>
    <t>Retest</t>
  </si>
  <si>
    <t>..\Execution Results\Screenshots\API-PRODUCT-002.png</t>
  </si>
  <si>
    <t>km</t>
  </si>
  <si>
    <t>Initial manual Postman execution. Response size displayed as 1.06 KB.</t>
  </si>
  <si>
    <t>BUG-API-001</t>
  </si>
  <si>
    <t xml:space="preserve">Responsecode 405  message : This request method is not supported. </t>
  </si>
  <si>
    <t>Responsecode 405 message: This request method is not supported.</t>
  </si>
  <si>
    <t>. Response body contained responseCode 200 and a populated products array with product IDs, names, prices, brands, and categories.</t>
  </si>
  <si>
    <t>. Response body contained responseCode 405. "message": "This request method is not supported."</t>
  </si>
  <si>
    <t xml:space="preserve"> Response body contained responseCode 200 and a populated products array with all brands.</t>
  </si>
  <si>
    <t>"responseCode": 405, "message": "This request method is not supported."}</t>
  </si>
  <si>
    <t>Initial manual Postman execution. Response size displayed as 912 B.</t>
  </si>
  <si>
    <t xml:space="preserve">Initial manual Postman execution. Response size displayed as 914 B. HTTP Code is 200 the response code is 405. Expected HTTP Code is 405. </t>
  </si>
  <si>
    <t xml:space="preserve"> Response body contained responseCode 200 and a populated products array with all "tops".</t>
  </si>
  <si>
    <t>Initial manual Postman execution. Response size displayed as 1.32 KB.</t>
  </si>
  <si>
    <t>Verify search validation when search_product value is omitted</t>
  </si>
  <si>
    <t xml:space="preserve"> Response body contained responseCode 200 and a populated products array with all products</t>
  </si>
  <si>
    <t>BUG-API-002</t>
  </si>
  <si>
    <t>Initial manual Postman execution. Response size displayed as 1.32 KB. The expected result did not match the actual result.</t>
  </si>
  <si>
    <t>..\Execution Results\Screenshots\API-BRAND-001.png</t>
  </si>
  <si>
    <t>..\Execution Results\Screenshots\API-BRAND-002.png</t>
  </si>
  <si>
    <t>..\Execution Results\Screenshots\API-SEARCH-001.png</t>
  </si>
  <si>
    <t>{"responseCode": 200, "message": "User exists!"}</t>
  </si>
  <si>
    <t>..\Execution Results\Screenshots\API-AUTH-001.png</t>
  </si>
  <si>
    <t>Initial manual Postman execution. Response size displayed as 848 B.</t>
  </si>
  <si>
    <t>{"responseCode": 400, "message": "Bad request, email or password parameter is missing in POST request."}</t>
  </si>
  <si>
    <t>..\Execution Results\Screenshots\API-AUTH-002.png</t>
  </si>
  <si>
    <t>Initial manual Postman execution. Response size displayed as 927 B</t>
  </si>
  <si>
    <t>{"responseCode": 405, "message": "This request method is not supported."}</t>
  </si>
  <si>
    <t>..\Execution Results\Screenshots\API-AUTH-003.png</t>
  </si>
  <si>
    <t>Initial manual Postman execution. Response size displayed as 908 B</t>
  </si>
  <si>
    <t>{"responseCode": 404, "message": "User not found!"}</t>
  </si>
  <si>
    <t>..\Execution Results\Screenshots\API-AUTH-004.png</t>
  </si>
  <si>
    <t>Initial manual Postman execution. Response size displayed as 881 B</t>
  </si>
  <si>
    <t>{"responseCode": 201, "message": "User created!"}</t>
  </si>
  <si>
    <t>..\Execution Results\Screenshots\API-SEARCH-002.png</t>
  </si>
  <si>
    <t>..\Execution Results\Screenshots\API-ACCOUNT-001.png</t>
  </si>
  <si>
    <t>..\Execution Results\Screenshots\API-ACCOUNT-002.png</t>
  </si>
  <si>
    <t>Initial manual Postman execution. Response size displayed as 854 B</t>
  </si>
  <si>
    <t>{"responseCode": 200, "message": "Account deleted!"}</t>
  </si>
  <si>
    <t>{"responseCode": 200, "message": "User updated!"}</t>
  </si>
  <si>
    <t>..\Execution Results\Screenshots\API-ACCOUNT-003.png</t>
  </si>
  <si>
    <t>..\Execution Results\Screenshots\API-ACCOUNT-004.png</t>
  </si>
  <si>
    <t>Initial manual Postman execution. Response size displayed as 1.06 B</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</si>
</sst>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12">
    <font>
      <sz val="11"/>
      <name val="Carlito"/>
    </font>
    <font>
      <b/>
      <sz val="18"/>
      <color rgb="FFFFFFFF"/>
      <name val="Carlito"/>
    </font>
    <font>
      <i/>
      <sz val="10"/>
      <color rgb="FF1F2937"/>
      <name val="Carlito"/>
    </font>
    <font>
      <b/>
      <sz val="10"/>
      <color rgb="FFFFFFFF"/>
      <name val="Carlito"/>
    </font>
    <font>
      <b/>
      <sz val="18"/>
      <color rgb="FF17365D"/>
      <name val="Carlito"/>
    </font>
    <font>
      <sz val="10"/>
      <color rgb="FF1F2937"/>
      <name val="Carlito"/>
    </font>
    <font>
      <b/>
      <sz val="11"/>
      <color rgb="FFFFFFFF"/>
      <name val="Carlito"/>
    </font>
    <font>
      <sz val="11"/>
      <color rgb="FF1F2937"/>
      <name val="Carlito"/>
    </font>
    <font>
      <i/>
      <sz val="10"/>
      <color rgb="FF7F6000"/>
      <name val="Carlito"/>
    </font>
    <font>
      <b/>
      <sz val="12"/>
      <color rgb="FFFFFFFF"/>
      <name val="Carlito"/>
    </font>
    <font>
      <u/>
      <sz val="11"/>
      <color theme="10"/>
      <name val="Carlito"/>
    </font>
    <font>
      <sz val="10"/>
      <name val="Arial Unicode MS"/>
    </font>
  </fonts>
  <fills count="8">
    <fill>
      <patternFill patternType="none"/>
    </fill>
    <fill>
      <patternFill patternType="gray125"/>
    </fill>
    <fill>
      <patternFill patternType="solid">
        <fgColor rgb="FF17365D"/>
      </patternFill>
    </fill>
    <fill>
      <patternFill patternType="solid">
        <fgColor rgb="FFD9EAF7"/>
      </patternFill>
    </fill>
    <fill>
      <patternFill patternType="solid">
        <fgColor rgb="FF2F75B5"/>
      </patternFill>
    </fill>
    <fill>
      <patternFill patternType="solid">
        <fgColor rgb="FFF4F6F8"/>
      </patternFill>
    </fill>
    <fill>
      <patternFill patternType="solid">
        <fgColor rgb="FFEAF3F8"/>
      </patternFill>
    </fill>
    <fill>
      <patternFill patternType="solid">
        <fgColor rgb="FFFFF2CC"/>
      </patternFill>
    </fill>
  </fills>
  <borders count="13">
    <border>
      <left/>
      <right/>
      <top/>
      <bottom/>
      <diagonal/>
    </border>
    <border>
      <left style="thin">
        <color rgb="FFB7C9DB"/>
      </left>
      <right/>
      <top style="thin">
        <color rgb="FFB7C9DB"/>
      </top>
      <bottom style="thin">
        <color rgb="FFB7C9DB"/>
      </bottom>
      <diagonal/>
    </border>
    <border>
      <left/>
      <right/>
      <top style="thin">
        <color rgb="FFB7C9DB"/>
      </top>
      <bottom style="thin">
        <color rgb="FFB7C9DB"/>
      </bottom>
      <diagonal/>
    </border>
    <border>
      <left/>
      <right style="thin">
        <color rgb="FFB7C9DB"/>
      </right>
      <top style="thin">
        <color rgb="FFB7C9DB"/>
      </top>
      <bottom style="thin">
        <color rgb="FFB7C9DB"/>
      </bottom>
      <diagonal/>
    </border>
    <border>
      <left style="thin">
        <color rgb="FFB7C9DB"/>
      </left>
      <right/>
      <top style="thin">
        <color rgb="FFB7C9DB"/>
      </top>
      <bottom/>
      <diagonal/>
    </border>
    <border>
      <left/>
      <right/>
      <top style="thin">
        <color rgb="FFB7C9DB"/>
      </top>
      <bottom/>
      <diagonal/>
    </border>
    <border>
      <left/>
      <right style="thin">
        <color rgb="FFB7C9DB"/>
      </right>
      <top style="thin">
        <color rgb="FFB7C9DB"/>
      </top>
      <bottom/>
      <diagonal/>
    </border>
    <border>
      <left style="thin">
        <color rgb="FFB7C9DB"/>
      </left>
      <right/>
      <top/>
      <bottom style="thin">
        <color rgb="FFB7C9DB"/>
      </bottom>
      <diagonal/>
    </border>
    <border>
      <left/>
      <right/>
      <top/>
      <bottom style="thin">
        <color rgb="FFB7C9DB"/>
      </bottom>
      <diagonal/>
    </border>
    <border>
      <left/>
      <right style="thin">
        <color rgb="FFB7C9DB"/>
      </right>
      <top/>
      <bottom style="thin">
        <color rgb="FFB7C9DB"/>
      </bottom>
      <diagonal/>
    </border>
    <border>
      <left style="thin">
        <color rgb="FFB7C9DB"/>
      </left>
      <right/>
      <top/>
      <bottom/>
      <diagonal/>
    </border>
    <border>
      <left/>
      <right style="thin">
        <color rgb="FFB7C9DB"/>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0" fillId="0" borderId="0" applyNumberFormat="0" applyFill="0" applyBorder="0" applyAlignment="0" applyProtection="0"/>
  </cellStyleXfs>
  <cellXfs count="54">
    <xf numFmtId="0" fontId="0" fillId="0" borderId="0" xfId="0"/>
    <xf numFmtId="0" fontId="3" fillId="4" borderId="4" xfId="0" applyFont="1" applyFill="1" applyBorder="1" applyAlignment="1">
      <alignment horizontal="center" vertical="center"/>
    </xf>
    <xf numFmtId="0" fontId="3" fillId="4" borderId="5" xfId="0" applyFont="1" applyFill="1" applyBorder="1" applyAlignment="1">
      <alignment horizontal="center" vertical="center"/>
    </xf>
    <xf numFmtId="0" fontId="3" fillId="4" borderId="6" xfId="0" applyFont="1" applyFill="1" applyBorder="1" applyAlignment="1">
      <alignment horizontal="center" vertical="center"/>
    </xf>
    <xf numFmtId="0" fontId="3" fillId="4" borderId="0" xfId="0" applyFont="1" applyFill="1" applyAlignment="1">
      <alignment horizontal="center" vertical="center" wrapText="1"/>
    </xf>
    <xf numFmtId="0" fontId="3" fillId="4" borderId="4" xfId="0" applyFont="1" applyFill="1" applyBorder="1" applyAlignment="1">
      <alignment horizontal="center" vertical="top" wrapText="1"/>
    </xf>
    <xf numFmtId="0" fontId="3" fillId="4" borderId="5" xfId="0" applyFont="1" applyFill="1" applyBorder="1" applyAlignment="1">
      <alignment horizontal="center" vertical="top" wrapText="1"/>
    </xf>
    <xf numFmtId="0" fontId="3" fillId="4" borderId="6" xfId="0" applyFont="1" applyFill="1" applyBorder="1" applyAlignment="1">
      <alignment horizontal="center" vertical="top" wrapText="1"/>
    </xf>
    <xf numFmtId="0" fontId="3" fillId="4" borderId="4" xfId="0" applyFont="1" applyFill="1" applyBorder="1" applyAlignment="1">
      <alignment horizontal="center"/>
    </xf>
    <xf numFmtId="0" fontId="3" fillId="4" borderId="5" xfId="0" applyFont="1" applyFill="1" applyBorder="1" applyAlignment="1">
      <alignment horizontal="center"/>
    </xf>
    <xf numFmtId="0" fontId="3" fillId="4" borderId="6" xfId="0" applyFont="1" applyFill="1" applyBorder="1" applyAlignment="1">
      <alignment horizontal="center"/>
    </xf>
    <xf numFmtId="0" fontId="1" fillId="2" borderId="0" xfId="0" applyFont="1" applyFill="1" applyAlignment="1">
      <alignment horizontal="center" vertical="center"/>
    </xf>
    <xf numFmtId="0" fontId="2" fillId="3" borderId="0" xfId="0" applyFont="1" applyFill="1" applyAlignment="1">
      <alignment horizontal="center" vertical="center"/>
    </xf>
    <xf numFmtId="0" fontId="3" fillId="4" borderId="1" xfId="0" applyFont="1" applyFill="1" applyBorder="1" applyAlignment="1">
      <alignment horizontal="center" vertical="center"/>
    </xf>
    <xf numFmtId="0" fontId="3" fillId="4" borderId="2" xfId="0" applyFont="1" applyFill="1" applyBorder="1" applyAlignment="1">
      <alignment horizontal="center" vertical="center"/>
    </xf>
    <xf numFmtId="0" fontId="3" fillId="4" borderId="3" xfId="0" applyFont="1" applyFill="1" applyBorder="1" applyAlignment="1">
      <alignment horizontal="center" vertical="center"/>
    </xf>
    <xf numFmtId="0" fontId="4" fillId="5" borderId="4" xfId="0" applyFont="1" applyFill="1" applyBorder="1" applyAlignment="1">
      <alignment horizontal="center" vertical="center"/>
    </xf>
    <xf numFmtId="0" fontId="4" fillId="5" borderId="5" xfId="0" applyFont="1" applyFill="1" applyBorder="1" applyAlignment="1">
      <alignment horizontal="center" vertical="center"/>
    </xf>
    <xf numFmtId="0" fontId="4" fillId="5" borderId="6" xfId="0" applyFont="1" applyFill="1" applyBorder="1" applyAlignment="1">
      <alignment horizontal="center" vertical="center"/>
    </xf>
    <xf numFmtId="0" fontId="4" fillId="5" borderId="7"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9" xfId="0" applyFont="1" applyFill="1" applyBorder="1" applyAlignment="1">
      <alignment horizontal="center" vertical="center"/>
    </xf>
    <xf numFmtId="0" fontId="6" fillId="4" borderId="0" xfId="0" applyFont="1" applyFill="1" applyAlignment="1">
      <alignment horizontal="center"/>
    </xf>
    <xf numFmtId="0" fontId="7" fillId="6" borderId="4" xfId="0" applyFont="1" applyFill="1" applyBorder="1" applyAlignment="1">
      <alignment vertical="top" wrapText="1"/>
    </xf>
    <xf numFmtId="0" fontId="7" fillId="6" borderId="5" xfId="0" applyFont="1" applyFill="1" applyBorder="1" applyAlignment="1">
      <alignment vertical="top" wrapText="1"/>
    </xf>
    <xf numFmtId="0" fontId="7" fillId="6" borderId="6" xfId="0" applyFont="1" applyFill="1" applyBorder="1" applyAlignment="1">
      <alignment vertical="top" wrapText="1"/>
    </xf>
    <xf numFmtId="0" fontId="7" fillId="6" borderId="10" xfId="0" applyFont="1" applyFill="1" applyBorder="1" applyAlignment="1">
      <alignment vertical="top" wrapText="1"/>
    </xf>
    <xf numFmtId="0" fontId="7" fillId="6" borderId="0" xfId="0" applyFont="1" applyFill="1" applyAlignment="1">
      <alignment vertical="top" wrapText="1"/>
    </xf>
    <xf numFmtId="0" fontId="7" fillId="6" borderId="11" xfId="0" applyFont="1" applyFill="1" applyBorder="1" applyAlignment="1">
      <alignment vertical="top" wrapText="1"/>
    </xf>
    <xf numFmtId="0" fontId="7" fillId="6" borderId="7" xfId="0" applyFont="1" applyFill="1" applyBorder="1" applyAlignment="1">
      <alignment vertical="top" wrapText="1"/>
    </xf>
    <xf numFmtId="0" fontId="7" fillId="6" borderId="8" xfId="0" applyFont="1" applyFill="1" applyBorder="1" applyAlignment="1">
      <alignment vertical="top" wrapText="1"/>
    </xf>
    <xf numFmtId="0" fontId="7" fillId="6" borderId="9" xfId="0" applyFont="1" applyFill="1" applyBorder="1" applyAlignment="1">
      <alignment vertical="top" wrapText="1"/>
    </xf>
    <xf numFmtId="0" fontId="8" fillId="7" borderId="4" xfId="0" applyFont="1" applyFill="1" applyBorder="1" applyAlignment="1">
      <alignment vertical="center" wrapText="1"/>
    </xf>
    <xf numFmtId="0" fontId="8" fillId="7" borderId="5" xfId="0" applyFont="1" applyFill="1" applyBorder="1" applyAlignment="1">
      <alignment vertical="center" wrapText="1"/>
    </xf>
    <xf numFmtId="0" fontId="8" fillId="7" borderId="6" xfId="0" applyFont="1" applyFill="1" applyBorder="1" applyAlignment="1">
      <alignment vertical="center" wrapText="1"/>
    </xf>
    <xf numFmtId="0" fontId="8" fillId="7" borderId="7" xfId="0" applyFont="1" applyFill="1" applyBorder="1" applyAlignment="1">
      <alignment vertical="center" wrapText="1"/>
    </xf>
    <xf numFmtId="0" fontId="8" fillId="7" borderId="8" xfId="0" applyFont="1" applyFill="1" applyBorder="1" applyAlignment="1">
      <alignment vertical="center" wrapText="1"/>
    </xf>
    <xf numFmtId="0" fontId="8" fillId="7" borderId="9" xfId="0" applyFont="1" applyFill="1" applyBorder="1" applyAlignment="1">
      <alignment vertical="center" wrapText="1"/>
    </xf>
    <xf numFmtId="0" fontId="5" fillId="6" borderId="4" xfId="0" applyFont="1" applyFill="1" applyBorder="1" applyAlignment="1">
      <alignment vertical="center" wrapText="1"/>
    </xf>
    <xf numFmtId="0" fontId="5" fillId="6" borderId="5" xfId="0" applyFont="1" applyFill="1" applyBorder="1" applyAlignment="1">
      <alignment vertical="center" wrapText="1"/>
    </xf>
    <xf numFmtId="0" fontId="5" fillId="6" borderId="6" xfId="0" applyFont="1" applyFill="1" applyBorder="1" applyAlignment="1">
      <alignment vertical="center" wrapText="1"/>
    </xf>
    <xf numFmtId="0" fontId="5" fillId="6" borderId="7" xfId="0" applyFont="1" applyFill="1" applyBorder="1" applyAlignment="1">
      <alignment vertical="center" wrapText="1"/>
    </xf>
    <xf numFmtId="0" fontId="5" fillId="6" borderId="8" xfId="0" applyFont="1" applyFill="1" applyBorder="1" applyAlignment="1">
      <alignment vertical="center" wrapText="1"/>
    </xf>
    <xf numFmtId="0" fontId="5" fillId="6" borderId="9" xfId="0" applyFont="1" applyFill="1" applyBorder="1" applyAlignment="1">
      <alignment vertical="center" wrapText="1"/>
    </xf>
    <xf numFmtId="0" fontId="9" fillId="4" borderId="0" xfId="0" applyFont="1" applyFill="1"/>
    <xf numFmtId="0" fontId="5" fillId="0" borderId="12" xfId="0" applyFont="1" applyBorder="1" applyAlignment="1">
      <alignment horizontal="center" vertical="center"/>
    </xf>
    <xf numFmtId="0" fontId="5" fillId="0" borderId="12" xfId="0" applyFont="1" applyBorder="1" applyAlignment="1">
      <alignment vertical="top" wrapText="1"/>
    </xf>
    <xf numFmtId="0" fontId="5" fillId="0" borderId="12" xfId="0" applyFont="1" applyBorder="1" applyAlignment="1">
      <alignment horizontal="center" vertical="top" wrapText="1"/>
    </xf>
    <xf numFmtId="0" fontId="5" fillId="0" borderId="12" xfId="0" applyFont="1" applyBorder="1"/>
    <xf numFmtId="164" fontId="5" fillId="0" borderId="12" xfId="0" applyNumberFormat="1" applyFont="1" applyBorder="1" applyAlignment="1">
      <alignment horizontal="center" vertical="top" wrapText="1"/>
    </xf>
    <xf numFmtId="0" fontId="10" fillId="0" borderId="12" xfId="1" applyBorder="1" applyAlignment="1">
      <alignment horizontal="center" vertical="top" wrapText="1"/>
    </xf>
    <xf numFmtId="0" fontId="11" fillId="0" borderId="0" xfId="0" applyFont="1" applyAlignment="1">
      <alignment horizontal="center" vertical="top"/>
    </xf>
    <xf numFmtId="0" fontId="10" fillId="0" borderId="0" xfId="1" applyFill="1" applyAlignment="1">
      <alignment vertical="top"/>
    </xf>
    <xf numFmtId="0" fontId="10" fillId="0" borderId="0" xfId="1" applyFill="1" applyAlignment="1">
      <alignment horizontal="left" vertical="top"/>
    </xf>
  </cellXfs>
  <cellStyles count="2">
    <cellStyle name="Hyperlink" xfId="1" builtinId="8"/>
    <cellStyle name="Normal" xfId="0" builtinId="0"/>
  </cellStyles>
  <dxfs count="31">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border diagonalUp="0" diagonalDown="0">
        <left style="thin">
          <color indexed="64"/>
        </left>
        <right style="thin">
          <color indexed="64"/>
        </right>
        <top style="thin">
          <color indexed="64"/>
        </top>
        <bottom style="thin">
          <color indexed="64"/>
        </bottom>
        <vertical style="thin">
          <color indexed="64"/>
        </vertical>
        <horizontal style="thin">
          <color indexed="64"/>
        </horizontal>
      </border>
    </dxf>
    <dxf>
      <font>
        <b/>
        <color rgb="FF7F6000"/>
      </font>
      <fill>
        <patternFill patternType="solid">
          <bgColor rgb="FFFFF2CC"/>
        </patternFill>
      </fill>
    </dxf>
    <dxf>
      <font>
        <color rgb="FF595959"/>
      </font>
      <fill>
        <patternFill patternType="solid">
          <bgColor rgb="FFE7E6E6"/>
        </patternFill>
      </fill>
    </dxf>
    <dxf>
      <font>
        <b/>
        <color rgb="FF7030A0"/>
      </font>
      <fill>
        <patternFill patternType="solid">
          <bgColor rgb="FFE4DFEC"/>
        </patternFill>
      </fill>
    </dxf>
    <dxf>
      <font>
        <b/>
        <color rgb="FF9C0006"/>
      </font>
      <fill>
        <patternFill patternType="solid">
          <bgColor rgb="FFFCE4D6"/>
        </patternFill>
      </fill>
    </dxf>
    <dxf>
      <font>
        <b/>
        <color rgb="FF375623"/>
      </font>
      <fill>
        <patternFill patternType="solid">
          <bgColor rgb="FFE2F0D9"/>
        </patternFill>
      </fill>
    </dxf>
    <dxf>
      <font>
        <b/>
        <color rgb="FF7F6000"/>
      </font>
      <fill>
        <patternFill patternType="solid">
          <bgColor rgb="FFFFF2CC"/>
        </patternFill>
      </fill>
    </dxf>
    <dxf>
      <font>
        <b/>
        <color rgb="FF9C0006"/>
      </font>
      <fill>
        <patternFill patternType="solid">
          <bgColor rgb="FFFCE4D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ApiTestCases" displayName="ApiTestCases" ref="A7:X21">
  <autoFilter ref="A7:X21" xr:uid="{00000000-0009-0000-0100-000001000000}"/>
  <tableColumns count="24">
    <tableColumn id="1" xr3:uid="{00000000-0010-0000-0000-000001000000}" name="Test Case ID" dataDxfId="23"/>
    <tableColumn id="2" xr3:uid="{00000000-0010-0000-0000-000002000000}" name="Requirement ID" dataDxfId="22" dataCellStyle="Hyperlink"/>
    <tableColumn id="3" xr3:uid="{00000000-0010-0000-0000-000003000000}" name="Module" dataDxfId="21"/>
    <tableColumn id="4" xr3:uid="{00000000-0010-0000-0000-000004000000}" name="Test Type" dataDxfId="20"/>
    <tableColumn id="5" xr3:uid="{00000000-0010-0000-0000-000005000000}" name="Priority" dataDxfId="19"/>
    <tableColumn id="6" xr3:uid="{00000000-0010-0000-0000-000006000000}" name="Title / Objective" dataDxfId="18"/>
    <tableColumn id="7" xr3:uid="{00000000-0010-0000-0000-000007000000}" name="Method" dataDxfId="17"/>
    <tableColumn id="8" xr3:uid="{00000000-0010-0000-0000-000008000000}" name="Endpoint" dataDxfId="16"/>
    <tableColumn id="9" xr3:uid="{00000000-0010-0000-0000-000009000000}" name="Authentication" dataDxfId="15"/>
    <tableColumn id="10" xr3:uid="{00000000-0010-0000-0000-00000A000000}" name="Headers" dataDxfId="14"/>
    <tableColumn id="11" xr3:uid="{00000000-0010-0000-0000-00000B000000}" name="Parameters / Body" dataDxfId="13"/>
    <tableColumn id="12" xr3:uid="{00000000-0010-0000-0000-00000C000000}" name="Preconditions" dataDxfId="12"/>
    <tableColumn id="13" xr3:uid="{00000000-0010-0000-0000-00000D000000}" name="Test Steps" dataDxfId="11"/>
    <tableColumn id="14" xr3:uid="{00000000-0010-0000-0000-00000E000000}" name="Expected HTTP Status" dataDxfId="10"/>
    <tableColumn id="15" xr3:uid="{00000000-0010-0000-0000-00000F000000}" name="Expected Response" dataDxfId="9"/>
    <tableColumn id="16" xr3:uid="{00000000-0010-0000-0000-000010000000}" name="Actual HTTP Status" dataDxfId="8"/>
    <tableColumn id="17" xr3:uid="{00000000-0010-0000-0000-000011000000}" name="Actual Response" dataDxfId="7"/>
    <tableColumn id="18" xr3:uid="{00000000-0010-0000-0000-000012000000}" name="Response Time (ms)" dataDxfId="6"/>
    <tableColumn id="19" xr3:uid="{00000000-0010-0000-0000-000013000000}" name="Status" dataDxfId="5"/>
    <tableColumn id="20" xr3:uid="{00000000-0010-0000-0000-000014000000}" name="Executed By" dataDxfId="4"/>
    <tableColumn id="21" xr3:uid="{00000000-0010-0000-0000-000015000000}" name="Execution Date" dataDxfId="3"/>
    <tableColumn id="22" xr3:uid="{00000000-0010-0000-0000-000016000000}" name="Evidence / Screenshot" dataDxfId="2"/>
    <tableColumn id="23" xr3:uid="{00000000-0010-0000-0000-000017000000}" name="Defect ID" dataDxfId="1"/>
    <tableColumn id="24" xr3:uid="{00000000-0010-0000-0000-000018000000}" name="Notes" dataDxfId="0"/>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8" Type="http://schemas.openxmlformats.org/officeDocument/2006/relationships/hyperlink" Target="..\Execution%20Results\Screenshots\API-AUTH-002.png" TargetMode="External"/><Relationship Id="rId13" Type="http://schemas.openxmlformats.org/officeDocument/2006/relationships/hyperlink" Target="..\Execution%20Results\Screenshots\API-ACCOUNT-002.png" TargetMode="External"/><Relationship Id="rId3" Type="http://schemas.openxmlformats.org/officeDocument/2006/relationships/hyperlink" Target="..\Execution%20Results\Screenshots\API-PRODUCT-002.png" TargetMode="External"/><Relationship Id="rId7" Type="http://schemas.openxmlformats.org/officeDocument/2006/relationships/hyperlink" Target="..\Execution%20Results\Screenshots\API-AUTH-001.png" TargetMode="External"/><Relationship Id="rId12" Type="http://schemas.openxmlformats.org/officeDocument/2006/relationships/hyperlink" Target="..\Execution%20Results\Screenshots\API-ACCOUNT-001.png" TargetMode="External"/><Relationship Id="rId2" Type="http://schemas.openxmlformats.org/officeDocument/2006/relationships/hyperlink" Target="..\Execution%20Results\Screenshots\API-PRODUCT-001.png" TargetMode="External"/><Relationship Id="rId16" Type="http://schemas.openxmlformats.org/officeDocument/2006/relationships/table" Target="../tables/table1.xml"/><Relationship Id="rId1" Type="http://schemas.openxmlformats.org/officeDocument/2006/relationships/hyperlink" Target="..\..\Test%20Plan\Automation%20Exercise%20Requirements%20Traceability%20Matrix.xlsx" TargetMode="External"/><Relationship Id="rId6" Type="http://schemas.openxmlformats.org/officeDocument/2006/relationships/hyperlink" Target="..\Execution%20Results\Screenshots\API-SEARCH-001.png" TargetMode="External"/><Relationship Id="rId11" Type="http://schemas.openxmlformats.org/officeDocument/2006/relationships/hyperlink" Target="..\Execution%20Results\Screenshots\API-SEARCH-002.png" TargetMode="External"/><Relationship Id="rId5" Type="http://schemas.openxmlformats.org/officeDocument/2006/relationships/hyperlink" Target="..\Execution%20Results\Screenshots\API-BRAND-002.png" TargetMode="External"/><Relationship Id="rId15" Type="http://schemas.openxmlformats.org/officeDocument/2006/relationships/hyperlink" Target="..\Execution%20Results\Screenshots\API-ACCOUNT-004.png" TargetMode="External"/><Relationship Id="rId10" Type="http://schemas.openxmlformats.org/officeDocument/2006/relationships/hyperlink" Target="..\Execution%20Results\Screenshots\API-AUTH-004.png" TargetMode="External"/><Relationship Id="rId4" Type="http://schemas.openxmlformats.org/officeDocument/2006/relationships/hyperlink" Target="..\Execution%20Results\Screenshots\API-BRAND-001.png" TargetMode="External"/><Relationship Id="rId9" Type="http://schemas.openxmlformats.org/officeDocument/2006/relationships/hyperlink" Target="..\Execution%20Results\Screenshots\API-AUTH-003.png" TargetMode="External"/><Relationship Id="rId14" Type="http://schemas.openxmlformats.org/officeDocument/2006/relationships/hyperlink" Target="..\Execution%20Results\Screenshots\API-ACCOUNT-003.p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13"/>
  <sheetViews>
    <sheetView showGridLines="0" workbookViewId="0">
      <selection activeCell="D9" sqref="A9:D13"/>
    </sheetView>
  </sheetViews>
  <sheetFormatPr defaultRowHeight="14"/>
  <cols>
    <col min="1" max="1" width="24" customWidth="1"/>
    <col min="2" max="3" width="13" customWidth="1"/>
    <col min="4" max="4" width="15" customWidth="1"/>
    <col min="5" max="5" width="4" customWidth="1"/>
    <col min="6" max="11" width="16" customWidth="1"/>
    <col min="12" max="12" width="4" customWidth="1"/>
    <col min="13" max="14" width="12" customWidth="1"/>
  </cols>
  <sheetData>
    <row r="1" spans="1:14" ht="36" customHeight="1">
      <c r="A1" s="11" t="s">
        <v>0</v>
      </c>
      <c r="B1" s="11"/>
      <c r="C1" s="11"/>
      <c r="D1" s="11"/>
      <c r="E1" s="11"/>
      <c r="F1" s="11"/>
      <c r="G1" s="11"/>
      <c r="H1" s="11"/>
      <c r="I1" s="11"/>
      <c r="J1" s="11"/>
      <c r="K1" s="11"/>
      <c r="L1" s="11"/>
      <c r="M1" s="11"/>
      <c r="N1" s="11"/>
    </row>
    <row r="2" spans="1:14" ht="24" customHeight="1">
      <c r="A2" s="12" t="s">
        <v>1</v>
      </c>
      <c r="B2" s="12"/>
      <c r="C2" s="12"/>
      <c r="D2" s="12"/>
      <c r="E2" s="12"/>
      <c r="F2" s="12"/>
      <c r="G2" s="12"/>
      <c r="H2" s="12"/>
      <c r="I2" s="12"/>
      <c r="J2" s="12"/>
      <c r="K2" s="12"/>
      <c r="L2" s="12"/>
      <c r="M2" s="12"/>
      <c r="N2" s="12"/>
    </row>
    <row r="4" spans="1:14">
      <c r="A4" s="13" t="s">
        <v>2</v>
      </c>
      <c r="B4" s="14"/>
      <c r="C4" s="15"/>
      <c r="E4" s="13" t="s">
        <v>3</v>
      </c>
      <c r="F4" s="14"/>
      <c r="G4" s="15"/>
      <c r="I4" s="13" t="s">
        <v>4</v>
      </c>
      <c r="J4" s="14"/>
      <c r="K4" s="15"/>
      <c r="M4" s="13" t="s">
        <v>5</v>
      </c>
      <c r="N4" s="15"/>
    </row>
    <row r="5" spans="1:14">
      <c r="A5" s="16">
        <f>COUNTA('API Test Cases'!A8:A21)</f>
        <v>14</v>
      </c>
      <c r="B5" s="17"/>
      <c r="C5" s="18"/>
      <c r="E5" s="16">
        <f>COUNTIF('API Test Cases'!S8:S21,"Pass")</f>
        <v>12</v>
      </c>
      <c r="F5" s="17"/>
      <c r="G5" s="18"/>
      <c r="I5" s="16">
        <f>COUNTIF('API Test Cases'!S8:S21,"Fail")</f>
        <v>2</v>
      </c>
      <c r="J5" s="17"/>
      <c r="K5" s="18"/>
      <c r="M5" s="16">
        <f>COUNTIF('API Test Cases'!S8:S21,"Not Run")</f>
        <v>0</v>
      </c>
      <c r="N5" s="18"/>
    </row>
    <row r="6" spans="1:14">
      <c r="A6" s="19"/>
      <c r="B6" s="20"/>
      <c r="C6" s="21"/>
      <c r="E6" s="19"/>
      <c r="F6" s="20"/>
      <c r="G6" s="21"/>
      <c r="I6" s="19"/>
      <c r="J6" s="20"/>
      <c r="K6" s="21"/>
      <c r="M6" s="19"/>
      <c r="N6" s="21"/>
    </row>
    <row r="8" spans="1:14">
      <c r="A8" s="1" t="s">
        <v>6</v>
      </c>
      <c r="B8" s="2" t="s">
        <v>7</v>
      </c>
      <c r="C8" s="2" t="s">
        <v>3</v>
      </c>
      <c r="D8" s="3" t="s">
        <v>8</v>
      </c>
      <c r="F8" s="22" t="s">
        <v>9</v>
      </c>
      <c r="G8" s="22"/>
      <c r="H8" s="22"/>
      <c r="I8" s="22"/>
      <c r="J8" s="22"/>
      <c r="K8" s="22"/>
      <c r="L8" s="22"/>
      <c r="M8" s="22"/>
      <c r="N8" s="22"/>
    </row>
    <row r="9" spans="1:14">
      <c r="A9" s="45" t="s">
        <v>10</v>
      </c>
      <c r="B9" s="45">
        <f>COUNTIF('API Test Cases'!C8:C21,A9)</f>
        <v>2</v>
      </c>
      <c r="C9" s="45">
        <f>COUNTIFS('API Test Cases'!C8:C21,A9,'API Test Cases'!S8:S21,"Pass")</f>
        <v>1</v>
      </c>
      <c r="D9" s="45">
        <f>B9-C9</f>
        <v>1</v>
      </c>
      <c r="F9" s="23" t="s">
        <v>11</v>
      </c>
      <c r="G9" s="24"/>
      <c r="H9" s="24"/>
      <c r="I9" s="24"/>
      <c r="J9" s="24"/>
      <c r="K9" s="24"/>
      <c r="L9" s="24"/>
      <c r="M9" s="24"/>
      <c r="N9" s="25"/>
    </row>
    <row r="10" spans="1:14">
      <c r="A10" s="45" t="s">
        <v>12</v>
      </c>
      <c r="B10" s="45">
        <f>COUNTIF('API Test Cases'!C8:C21,A10)</f>
        <v>2</v>
      </c>
      <c r="C10" s="45">
        <f>COUNTIFS('API Test Cases'!C8:C21,A10,'API Test Cases'!S8:S21,"Pass")</f>
        <v>2</v>
      </c>
      <c r="D10" s="45">
        <f>B10-C10</f>
        <v>0</v>
      </c>
      <c r="F10" s="26"/>
      <c r="G10" s="27"/>
      <c r="H10" s="27"/>
      <c r="I10" s="27"/>
      <c r="J10" s="27"/>
      <c r="K10" s="27"/>
      <c r="L10" s="27"/>
      <c r="M10" s="27"/>
      <c r="N10" s="28"/>
    </row>
    <row r="11" spans="1:14">
      <c r="A11" s="45" t="s">
        <v>13</v>
      </c>
      <c r="B11" s="45">
        <f>COUNTIF('API Test Cases'!C8:C21,A11)</f>
        <v>2</v>
      </c>
      <c r="C11" s="45">
        <f>COUNTIFS('API Test Cases'!C8:C21,A11,'API Test Cases'!S8:S21,"Pass")</f>
        <v>1</v>
      </c>
      <c r="D11" s="45">
        <f>B11-C11</f>
        <v>1</v>
      </c>
      <c r="F11" s="26"/>
      <c r="G11" s="27"/>
      <c r="H11" s="27"/>
      <c r="I11" s="27"/>
      <c r="J11" s="27"/>
      <c r="K11" s="27"/>
      <c r="L11" s="27"/>
      <c r="M11" s="27"/>
      <c r="N11" s="28"/>
    </row>
    <row r="12" spans="1:14">
      <c r="A12" s="45" t="s">
        <v>14</v>
      </c>
      <c r="B12" s="45">
        <f>COUNTIF('API Test Cases'!C8:C21,A12)</f>
        <v>4</v>
      </c>
      <c r="C12" s="45">
        <f>COUNTIFS('API Test Cases'!C8:C21,A12,'API Test Cases'!S8:S21,"Pass")</f>
        <v>4</v>
      </c>
      <c r="D12" s="45">
        <f>B12-C12</f>
        <v>0</v>
      </c>
      <c r="F12" s="26"/>
      <c r="G12" s="27"/>
      <c r="H12" s="27"/>
      <c r="I12" s="27"/>
      <c r="J12" s="27"/>
      <c r="K12" s="27"/>
      <c r="L12" s="27"/>
      <c r="M12" s="27"/>
      <c r="N12" s="28"/>
    </row>
    <row r="13" spans="1:14">
      <c r="A13" s="45" t="s">
        <v>15</v>
      </c>
      <c r="B13" s="45">
        <f>COUNTIF('API Test Cases'!C8:C21,A13)</f>
        <v>4</v>
      </c>
      <c r="C13" s="45">
        <f>COUNTIFS('API Test Cases'!C8:C21,A13,'API Test Cases'!S8:S21,"Pass")</f>
        <v>4</v>
      </c>
      <c r="D13" s="45">
        <f>B13-C13</f>
        <v>0</v>
      </c>
      <c r="F13" s="29"/>
      <c r="G13" s="30"/>
      <c r="H13" s="30"/>
      <c r="I13" s="30"/>
      <c r="J13" s="30"/>
      <c r="K13" s="30"/>
      <c r="L13" s="30"/>
      <c r="M13" s="30"/>
      <c r="N13" s="31"/>
    </row>
  </sheetData>
  <mergeCells count="12">
    <mergeCell ref="F8:N8"/>
    <mergeCell ref="F9:N13"/>
    <mergeCell ref="A1:N1"/>
    <mergeCell ref="A2:N2"/>
    <mergeCell ref="A4:C4"/>
    <mergeCell ref="A5:C6"/>
    <mergeCell ref="E4:G4"/>
    <mergeCell ref="E5:G6"/>
    <mergeCell ref="I4:K4"/>
    <mergeCell ref="I5:K6"/>
    <mergeCell ref="M4:N4"/>
    <mergeCell ref="M5:N6"/>
  </mergeCell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X21"/>
  <sheetViews>
    <sheetView showGridLines="0" tabSelected="1" topLeftCell="R13" zoomScaleNormal="100" workbookViewId="0">
      <selection activeCell="X22" sqref="X22"/>
    </sheetView>
  </sheetViews>
  <sheetFormatPr defaultRowHeight="14"/>
  <cols>
    <col min="1" max="1" width="22" customWidth="1"/>
    <col min="2" max="2" width="18" customWidth="1"/>
    <col min="3" max="3" width="22" customWidth="1"/>
    <col min="4" max="4" width="18" customWidth="1"/>
    <col min="5" max="5" width="12" customWidth="1"/>
    <col min="6" max="6" width="40" customWidth="1"/>
    <col min="7" max="7" width="12" customWidth="1"/>
    <col min="8" max="8" width="38" customWidth="1"/>
    <col min="9" max="9" width="16" customWidth="1"/>
    <col min="10" max="10" width="30" customWidth="1"/>
    <col min="11" max="12" width="36" customWidth="1"/>
    <col min="13" max="13" width="44" customWidth="1"/>
    <col min="14" max="14" width="20" customWidth="1"/>
    <col min="15" max="15" width="42" customWidth="1"/>
    <col min="16" max="16" width="20" customWidth="1"/>
    <col min="17" max="17" width="43.9140625" customWidth="1"/>
    <col min="18" max="18" width="20" customWidth="1"/>
    <col min="19" max="19" width="13" customWidth="1"/>
    <col min="20" max="20" width="15" customWidth="1"/>
    <col min="21" max="21" width="16" customWidth="1"/>
    <col min="22" max="22" width="38" customWidth="1"/>
    <col min="23" max="23" width="14" customWidth="1"/>
    <col min="24" max="24" width="38" customWidth="1"/>
  </cols>
  <sheetData>
    <row r="1" spans="1:24" ht="36" customHeight="1">
      <c r="A1" s="11" t="s">
        <v>16</v>
      </c>
      <c r="B1" s="11"/>
      <c r="C1" s="11"/>
      <c r="D1" s="11"/>
      <c r="E1" s="11"/>
      <c r="F1" s="11"/>
      <c r="G1" s="11"/>
      <c r="H1" s="11"/>
      <c r="I1" s="11"/>
      <c r="J1" s="11"/>
      <c r="K1" s="11"/>
      <c r="L1" s="11"/>
      <c r="M1" s="11"/>
      <c r="N1" s="11"/>
      <c r="O1" s="11"/>
      <c r="P1" s="11"/>
      <c r="Q1" s="11"/>
      <c r="R1" s="11"/>
      <c r="S1" s="11"/>
      <c r="T1" s="11"/>
      <c r="U1" s="11"/>
      <c r="V1" s="11"/>
      <c r="W1" s="11"/>
      <c r="X1" s="11"/>
    </row>
    <row r="2" spans="1:24" ht="24" customHeight="1">
      <c r="A2" s="12" t="s">
        <v>17</v>
      </c>
      <c r="B2" s="12"/>
      <c r="C2" s="12"/>
      <c r="D2" s="12"/>
      <c r="E2" s="12"/>
      <c r="F2" s="12"/>
      <c r="G2" s="12"/>
      <c r="H2" s="12"/>
      <c r="I2" s="12"/>
      <c r="J2" s="12"/>
      <c r="K2" s="12"/>
      <c r="L2" s="12"/>
      <c r="M2" s="12"/>
      <c r="N2" s="12"/>
      <c r="O2" s="12"/>
      <c r="P2" s="12"/>
      <c r="Q2" s="12"/>
      <c r="R2" s="12"/>
      <c r="S2" s="12"/>
      <c r="T2" s="12"/>
      <c r="U2" s="12"/>
      <c r="V2" s="12"/>
      <c r="W2" s="12"/>
      <c r="X2" s="12"/>
    </row>
    <row r="4" spans="1:24">
      <c r="A4" s="32" t="s">
        <v>18</v>
      </c>
      <c r="B4" s="33"/>
      <c r="C4" s="33"/>
      <c r="D4" s="33"/>
      <c r="E4" s="33"/>
      <c r="F4" s="33"/>
      <c r="G4" s="33"/>
      <c r="H4" s="34"/>
      <c r="J4" s="38" t="s">
        <v>19</v>
      </c>
      <c r="K4" s="39"/>
      <c r="L4" s="39"/>
      <c r="M4" s="39"/>
      <c r="N4" s="39"/>
      <c r="O4" s="39"/>
      <c r="P4" s="39"/>
      <c r="Q4" s="39"/>
      <c r="R4" s="39"/>
      <c r="S4" s="39"/>
      <c r="T4" s="39"/>
      <c r="U4" s="39"/>
      <c r="V4" s="39"/>
      <c r="W4" s="39"/>
      <c r="X4" s="40"/>
    </row>
    <row r="5" spans="1:24">
      <c r="A5" s="35"/>
      <c r="B5" s="36"/>
      <c r="C5" s="36"/>
      <c r="D5" s="36"/>
      <c r="E5" s="36"/>
      <c r="F5" s="36"/>
      <c r="G5" s="36"/>
      <c r="H5" s="37"/>
      <c r="J5" s="41"/>
      <c r="K5" s="42"/>
      <c r="L5" s="42"/>
      <c r="M5" s="42"/>
      <c r="N5" s="42"/>
      <c r="O5" s="42"/>
      <c r="P5" s="42"/>
      <c r="Q5" s="42"/>
      <c r="R5" s="42"/>
      <c r="S5" s="42"/>
      <c r="T5" s="42"/>
      <c r="U5" s="42"/>
      <c r="V5" s="42"/>
      <c r="W5" s="42"/>
      <c r="X5" s="43"/>
    </row>
    <row r="7" spans="1:24" ht="44" customHeight="1">
      <c r="A7" s="4" t="s">
        <v>20</v>
      </c>
      <c r="B7" s="4" t="s">
        <v>21</v>
      </c>
      <c r="C7" s="4" t="s">
        <v>6</v>
      </c>
      <c r="D7" s="4" t="s">
        <v>22</v>
      </c>
      <c r="E7" s="4" t="s">
        <v>23</v>
      </c>
      <c r="F7" s="4" t="s">
        <v>24</v>
      </c>
      <c r="G7" s="4" t="s">
        <v>25</v>
      </c>
      <c r="H7" s="4" t="s">
        <v>26</v>
      </c>
      <c r="I7" s="4" t="s">
        <v>14</v>
      </c>
      <c r="J7" s="4" t="s">
        <v>27</v>
      </c>
      <c r="K7" s="4" t="s">
        <v>28</v>
      </c>
      <c r="L7" s="4" t="s">
        <v>29</v>
      </c>
      <c r="M7" s="4" t="s">
        <v>30</v>
      </c>
      <c r="N7" s="4" t="s">
        <v>31</v>
      </c>
      <c r="O7" s="4" t="s">
        <v>32</v>
      </c>
      <c r="P7" s="4" t="s">
        <v>33</v>
      </c>
      <c r="Q7" s="4" t="s">
        <v>34</v>
      </c>
      <c r="R7" s="4" t="s">
        <v>35</v>
      </c>
      <c r="S7" s="4" t="s">
        <v>36</v>
      </c>
      <c r="T7" s="4" t="s">
        <v>37</v>
      </c>
      <c r="U7" s="4" t="s">
        <v>38</v>
      </c>
      <c r="V7" s="4" t="s">
        <v>39</v>
      </c>
      <c r="W7" s="4" t="s">
        <v>40</v>
      </c>
      <c r="X7" s="4" t="s">
        <v>41</v>
      </c>
    </row>
    <row r="8" spans="1:24" ht="78.5" customHeight="1">
      <c r="A8" s="47" t="s">
        <v>42</v>
      </c>
      <c r="B8" s="50" t="s">
        <v>43</v>
      </c>
      <c r="C8" s="47" t="s">
        <v>10</v>
      </c>
      <c r="D8" s="47" t="s">
        <v>44</v>
      </c>
      <c r="E8" s="47" t="s">
        <v>45</v>
      </c>
      <c r="F8" s="46" t="s">
        <v>46</v>
      </c>
      <c r="G8" s="47" t="s">
        <v>47</v>
      </c>
      <c r="H8" s="47" t="s">
        <v>48</v>
      </c>
      <c r="I8" s="47" t="s">
        <v>49</v>
      </c>
      <c r="J8" s="47" t="s">
        <v>49</v>
      </c>
      <c r="K8" s="46" t="s">
        <v>49</v>
      </c>
      <c r="L8" s="46" t="s">
        <v>50</v>
      </c>
      <c r="M8" s="46" t="s">
        <v>51</v>
      </c>
      <c r="N8" s="47">
        <v>200</v>
      </c>
      <c r="O8" s="46" t="s">
        <v>52</v>
      </c>
      <c r="P8" s="47">
        <v>200</v>
      </c>
      <c r="Q8" s="46" t="s">
        <v>205</v>
      </c>
      <c r="R8" s="47">
        <v>616</v>
      </c>
      <c r="S8" s="47" t="s">
        <v>53</v>
      </c>
      <c r="T8" s="47" t="s">
        <v>54</v>
      </c>
      <c r="U8" s="49">
        <v>46234.666666666664</v>
      </c>
      <c r="V8" s="50" t="s">
        <v>55</v>
      </c>
      <c r="W8" s="47" t="s">
        <v>56</v>
      </c>
      <c r="X8" s="46" t="s">
        <v>57</v>
      </c>
    </row>
    <row r="9" spans="1:24" ht="78.5" customHeight="1">
      <c r="A9" s="47" t="s">
        <v>58</v>
      </c>
      <c r="B9" s="50" t="s">
        <v>59</v>
      </c>
      <c r="C9" s="47" t="s">
        <v>10</v>
      </c>
      <c r="D9" s="47" t="s">
        <v>60</v>
      </c>
      <c r="E9" s="47" t="s">
        <v>61</v>
      </c>
      <c r="F9" s="46" t="s">
        <v>62</v>
      </c>
      <c r="G9" s="47" t="s">
        <v>63</v>
      </c>
      <c r="H9" s="47" t="s">
        <v>48</v>
      </c>
      <c r="I9" s="47" t="s">
        <v>49</v>
      </c>
      <c r="J9" s="47" t="s">
        <v>49</v>
      </c>
      <c r="K9" s="46" t="s">
        <v>49</v>
      </c>
      <c r="L9" s="46" t="s">
        <v>64</v>
      </c>
      <c r="M9" s="46" t="s">
        <v>65</v>
      </c>
      <c r="N9" s="47">
        <v>200</v>
      </c>
      <c r="O9" s="46" t="s">
        <v>204</v>
      </c>
      <c r="P9" s="47">
        <v>200</v>
      </c>
      <c r="Q9" s="46" t="s">
        <v>206</v>
      </c>
      <c r="R9" s="47">
        <v>418</v>
      </c>
      <c r="S9" s="47" t="s">
        <v>195</v>
      </c>
      <c r="T9" s="47" t="s">
        <v>200</v>
      </c>
      <c r="U9" s="49">
        <v>46235</v>
      </c>
      <c r="V9" s="50" t="s">
        <v>199</v>
      </c>
      <c r="W9" s="51" t="s">
        <v>202</v>
      </c>
      <c r="X9" s="46" t="s">
        <v>210</v>
      </c>
    </row>
    <row r="10" spans="1:24" ht="78.5" customHeight="1">
      <c r="A10" s="47" t="s">
        <v>67</v>
      </c>
      <c r="B10" s="50" t="s">
        <v>68</v>
      </c>
      <c r="C10" s="47" t="s">
        <v>12</v>
      </c>
      <c r="D10" s="47" t="s">
        <v>44</v>
      </c>
      <c r="E10" s="47" t="s">
        <v>45</v>
      </c>
      <c r="F10" s="46" t="s">
        <v>69</v>
      </c>
      <c r="G10" s="47" t="s">
        <v>47</v>
      </c>
      <c r="H10" s="47" t="s">
        <v>70</v>
      </c>
      <c r="I10" s="47" t="s">
        <v>49</v>
      </c>
      <c r="J10" s="47" t="s">
        <v>49</v>
      </c>
      <c r="K10" s="46" t="s">
        <v>49</v>
      </c>
      <c r="L10" s="46" t="s">
        <v>64</v>
      </c>
      <c r="M10" s="46" t="s">
        <v>71</v>
      </c>
      <c r="N10" s="47">
        <v>200</v>
      </c>
      <c r="O10" s="46" t="s">
        <v>72</v>
      </c>
      <c r="P10" s="47">
        <v>200</v>
      </c>
      <c r="Q10" s="46" t="s">
        <v>207</v>
      </c>
      <c r="R10" s="47">
        <v>434</v>
      </c>
      <c r="S10" s="47" t="s">
        <v>53</v>
      </c>
      <c r="T10" s="47" t="s">
        <v>54</v>
      </c>
      <c r="U10" s="49">
        <v>46235</v>
      </c>
      <c r="V10" s="52" t="s">
        <v>217</v>
      </c>
      <c r="W10" s="47" t="s">
        <v>56</v>
      </c>
      <c r="X10" s="46" t="s">
        <v>201</v>
      </c>
    </row>
    <row r="11" spans="1:24" ht="78.5" customHeight="1">
      <c r="A11" s="47" t="s">
        <v>73</v>
      </c>
      <c r="B11" s="50" t="s">
        <v>74</v>
      </c>
      <c r="C11" s="47" t="s">
        <v>12</v>
      </c>
      <c r="D11" s="47" t="s">
        <v>60</v>
      </c>
      <c r="E11" s="47" t="s">
        <v>61</v>
      </c>
      <c r="F11" s="46" t="s">
        <v>75</v>
      </c>
      <c r="G11" s="47" t="s">
        <v>76</v>
      </c>
      <c r="H11" s="47" t="s">
        <v>70</v>
      </c>
      <c r="I11" s="47" t="s">
        <v>49</v>
      </c>
      <c r="J11" s="47" t="s">
        <v>49</v>
      </c>
      <c r="K11" s="46" t="s">
        <v>49</v>
      </c>
      <c r="L11" s="46" t="s">
        <v>64</v>
      </c>
      <c r="M11" s="46" t="s">
        <v>77</v>
      </c>
      <c r="N11" s="47">
        <v>200</v>
      </c>
      <c r="O11" s="46" t="s">
        <v>203</v>
      </c>
      <c r="P11" s="47">
        <v>200</v>
      </c>
      <c r="Q11" s="46" t="s">
        <v>208</v>
      </c>
      <c r="R11" s="47">
        <v>468</v>
      </c>
      <c r="S11" s="47" t="s">
        <v>53</v>
      </c>
      <c r="T11" s="47" t="s">
        <v>54</v>
      </c>
      <c r="U11" s="49">
        <v>46235</v>
      </c>
      <c r="V11" s="50" t="s">
        <v>218</v>
      </c>
      <c r="W11" s="47" t="s">
        <v>56</v>
      </c>
      <c r="X11" s="46" t="s">
        <v>209</v>
      </c>
    </row>
    <row r="12" spans="1:24" ht="78.5" customHeight="1">
      <c r="A12" s="47" t="s">
        <v>78</v>
      </c>
      <c r="B12" s="50" t="s">
        <v>79</v>
      </c>
      <c r="C12" s="47" t="s">
        <v>13</v>
      </c>
      <c r="D12" s="47" t="s">
        <v>44</v>
      </c>
      <c r="E12" s="47" t="s">
        <v>45</v>
      </c>
      <c r="F12" s="46" t="s">
        <v>80</v>
      </c>
      <c r="G12" s="47" t="s">
        <v>63</v>
      </c>
      <c r="H12" s="47" t="s">
        <v>81</v>
      </c>
      <c r="I12" s="47" t="s">
        <v>49</v>
      </c>
      <c r="J12" s="47" t="s">
        <v>82</v>
      </c>
      <c r="K12" s="46" t="s">
        <v>83</v>
      </c>
      <c r="L12" s="46" t="s">
        <v>64</v>
      </c>
      <c r="M12" s="46" t="s">
        <v>84</v>
      </c>
      <c r="N12" s="47">
        <v>200</v>
      </c>
      <c r="O12" s="46" t="s">
        <v>85</v>
      </c>
      <c r="P12" s="47">
        <v>200</v>
      </c>
      <c r="Q12" s="46" t="s">
        <v>211</v>
      </c>
      <c r="R12" s="47">
        <v>508</v>
      </c>
      <c r="S12" s="47" t="s">
        <v>53</v>
      </c>
      <c r="T12" s="47" t="s">
        <v>54</v>
      </c>
      <c r="U12" s="49">
        <v>46235</v>
      </c>
      <c r="V12" s="50" t="s">
        <v>219</v>
      </c>
      <c r="W12" s="47" t="s">
        <v>56</v>
      </c>
      <c r="X12" s="46" t="s">
        <v>212</v>
      </c>
    </row>
    <row r="13" spans="1:24" ht="78.5" customHeight="1">
      <c r="A13" s="47" t="s">
        <v>86</v>
      </c>
      <c r="B13" s="50" t="s">
        <v>87</v>
      </c>
      <c r="C13" s="47" t="s">
        <v>13</v>
      </c>
      <c r="D13" s="47" t="s">
        <v>60</v>
      </c>
      <c r="E13" s="47" t="s">
        <v>45</v>
      </c>
      <c r="F13" s="46" t="s">
        <v>213</v>
      </c>
      <c r="G13" s="47" t="s">
        <v>63</v>
      </c>
      <c r="H13" s="47" t="s">
        <v>81</v>
      </c>
      <c r="I13" s="47" t="s">
        <v>49</v>
      </c>
      <c r="J13" s="47" t="s">
        <v>82</v>
      </c>
      <c r="K13" s="46" t="s">
        <v>88</v>
      </c>
      <c r="L13" s="46" t="s">
        <v>64</v>
      </c>
      <c r="M13" s="46" t="s">
        <v>89</v>
      </c>
      <c r="N13" s="47">
        <v>200</v>
      </c>
      <c r="O13" s="46" t="s">
        <v>90</v>
      </c>
      <c r="P13" s="47">
        <v>200</v>
      </c>
      <c r="Q13" s="46" t="s">
        <v>214</v>
      </c>
      <c r="R13" s="47">
        <v>406</v>
      </c>
      <c r="S13" s="47" t="s">
        <v>195</v>
      </c>
      <c r="T13" s="47" t="s">
        <v>54</v>
      </c>
      <c r="U13" s="49">
        <v>46235</v>
      </c>
      <c r="V13" s="53" t="s">
        <v>233</v>
      </c>
      <c r="W13" s="51" t="s">
        <v>215</v>
      </c>
      <c r="X13" s="46" t="s">
        <v>216</v>
      </c>
    </row>
    <row r="14" spans="1:24" ht="78.5" customHeight="1">
      <c r="A14" s="47" t="s">
        <v>91</v>
      </c>
      <c r="B14" s="50" t="s">
        <v>92</v>
      </c>
      <c r="C14" s="47" t="s">
        <v>14</v>
      </c>
      <c r="D14" s="47" t="s">
        <v>44</v>
      </c>
      <c r="E14" s="47" t="s">
        <v>93</v>
      </c>
      <c r="F14" s="46" t="s">
        <v>94</v>
      </c>
      <c r="G14" s="47" t="s">
        <v>63</v>
      </c>
      <c r="H14" s="47" t="s">
        <v>95</v>
      </c>
      <c r="I14" s="47" t="s">
        <v>49</v>
      </c>
      <c r="J14" s="47" t="s">
        <v>82</v>
      </c>
      <c r="K14" s="46" t="s">
        <v>96</v>
      </c>
      <c r="L14" s="46" t="s">
        <v>97</v>
      </c>
      <c r="M14" s="46" t="s">
        <v>98</v>
      </c>
      <c r="N14" s="47">
        <v>200</v>
      </c>
      <c r="O14" s="46" t="s">
        <v>99</v>
      </c>
      <c r="P14" s="47">
        <v>200</v>
      </c>
      <c r="Q14" s="46" t="s">
        <v>220</v>
      </c>
      <c r="R14" s="47">
        <v>434</v>
      </c>
      <c r="S14" s="47" t="s">
        <v>53</v>
      </c>
      <c r="T14" s="47" t="s">
        <v>54</v>
      </c>
      <c r="U14" s="49">
        <v>46235</v>
      </c>
      <c r="V14" s="50" t="s">
        <v>221</v>
      </c>
      <c r="W14" s="47" t="s">
        <v>56</v>
      </c>
      <c r="X14" s="46" t="s">
        <v>222</v>
      </c>
    </row>
    <row r="15" spans="1:24" ht="78.5" customHeight="1">
      <c r="A15" s="47" t="s">
        <v>100</v>
      </c>
      <c r="B15" s="50" t="s">
        <v>101</v>
      </c>
      <c r="C15" s="47" t="s">
        <v>14</v>
      </c>
      <c r="D15" s="47" t="s">
        <v>60</v>
      </c>
      <c r="E15" s="47" t="s">
        <v>45</v>
      </c>
      <c r="F15" s="46" t="s">
        <v>102</v>
      </c>
      <c r="G15" s="47" t="s">
        <v>63</v>
      </c>
      <c r="H15" s="47" t="s">
        <v>95</v>
      </c>
      <c r="I15" s="47" t="s">
        <v>49</v>
      </c>
      <c r="J15" s="47" t="s">
        <v>82</v>
      </c>
      <c r="K15" s="46" t="s">
        <v>103</v>
      </c>
      <c r="L15" s="46" t="s">
        <v>104</v>
      </c>
      <c r="M15" s="46" t="s">
        <v>105</v>
      </c>
      <c r="N15" s="47">
        <v>200</v>
      </c>
      <c r="O15" s="46" t="s">
        <v>106</v>
      </c>
      <c r="P15" s="47">
        <v>200</v>
      </c>
      <c r="Q15" s="46" t="s">
        <v>223</v>
      </c>
      <c r="R15" s="47">
        <v>368</v>
      </c>
      <c r="S15" s="47" t="s">
        <v>53</v>
      </c>
      <c r="T15" s="47" t="s">
        <v>54</v>
      </c>
      <c r="U15" s="49">
        <v>46235</v>
      </c>
      <c r="V15" s="50" t="s">
        <v>224</v>
      </c>
      <c r="W15" s="47" t="s">
        <v>56</v>
      </c>
      <c r="X15" s="46" t="s">
        <v>225</v>
      </c>
    </row>
    <row r="16" spans="1:24" ht="78.5" customHeight="1">
      <c r="A16" s="47" t="s">
        <v>107</v>
      </c>
      <c r="B16" s="50" t="s">
        <v>108</v>
      </c>
      <c r="C16" s="47" t="s">
        <v>14</v>
      </c>
      <c r="D16" s="47" t="s">
        <v>60</v>
      </c>
      <c r="E16" s="47" t="s">
        <v>61</v>
      </c>
      <c r="F16" s="46" t="s">
        <v>109</v>
      </c>
      <c r="G16" s="47" t="s">
        <v>110</v>
      </c>
      <c r="H16" s="47" t="s">
        <v>95</v>
      </c>
      <c r="I16" s="47" t="s">
        <v>49</v>
      </c>
      <c r="J16" s="47" t="s">
        <v>49</v>
      </c>
      <c r="K16" s="46" t="s">
        <v>49</v>
      </c>
      <c r="L16" s="46" t="s">
        <v>64</v>
      </c>
      <c r="M16" s="46" t="s">
        <v>111</v>
      </c>
      <c r="N16" s="47">
        <v>200</v>
      </c>
      <c r="O16" s="46" t="s">
        <v>66</v>
      </c>
      <c r="P16" s="47">
        <v>200</v>
      </c>
      <c r="Q16" s="46" t="s">
        <v>226</v>
      </c>
      <c r="R16" s="47">
        <v>423</v>
      </c>
      <c r="S16" s="47" t="s">
        <v>53</v>
      </c>
      <c r="T16" s="47" t="s">
        <v>200</v>
      </c>
      <c r="U16" s="49">
        <v>46235</v>
      </c>
      <c r="V16" s="50" t="s">
        <v>227</v>
      </c>
      <c r="W16" s="47" t="s">
        <v>56</v>
      </c>
      <c r="X16" s="46" t="s">
        <v>228</v>
      </c>
    </row>
    <row r="17" spans="1:24" ht="78.5" customHeight="1">
      <c r="A17" s="47" t="s">
        <v>112</v>
      </c>
      <c r="B17" s="50" t="s">
        <v>113</v>
      </c>
      <c r="C17" s="47" t="s">
        <v>14</v>
      </c>
      <c r="D17" s="47" t="s">
        <v>60</v>
      </c>
      <c r="E17" s="47" t="s">
        <v>45</v>
      </c>
      <c r="F17" s="46" t="s">
        <v>114</v>
      </c>
      <c r="G17" s="47" t="s">
        <v>63</v>
      </c>
      <c r="H17" s="47" t="s">
        <v>95</v>
      </c>
      <c r="I17" s="47" t="s">
        <v>49</v>
      </c>
      <c r="J17" s="47" t="s">
        <v>82</v>
      </c>
      <c r="K17" s="46" t="s">
        <v>115</v>
      </c>
      <c r="L17" s="46" t="s">
        <v>116</v>
      </c>
      <c r="M17" s="46" t="s">
        <v>117</v>
      </c>
      <c r="N17" s="47">
        <v>200</v>
      </c>
      <c r="O17" s="46" t="s">
        <v>118</v>
      </c>
      <c r="P17" s="47">
        <v>200</v>
      </c>
      <c r="Q17" s="46" t="s">
        <v>229</v>
      </c>
      <c r="R17" s="47">
        <v>127</v>
      </c>
      <c r="S17" s="47" t="s">
        <v>53</v>
      </c>
      <c r="T17" s="47" t="s">
        <v>54</v>
      </c>
      <c r="U17" s="49">
        <v>46235</v>
      </c>
      <c r="V17" s="50" t="s">
        <v>230</v>
      </c>
      <c r="W17" s="47" t="s">
        <v>56</v>
      </c>
      <c r="X17" s="46" t="s">
        <v>231</v>
      </c>
    </row>
    <row r="18" spans="1:24" ht="78.5" customHeight="1">
      <c r="A18" s="47" t="s">
        <v>119</v>
      </c>
      <c r="B18" s="50" t="s">
        <v>120</v>
      </c>
      <c r="C18" s="47" t="s">
        <v>15</v>
      </c>
      <c r="D18" s="47" t="s">
        <v>44</v>
      </c>
      <c r="E18" s="47" t="s">
        <v>93</v>
      </c>
      <c r="F18" s="46" t="s">
        <v>121</v>
      </c>
      <c r="G18" s="47" t="s">
        <v>63</v>
      </c>
      <c r="H18" s="47" t="s">
        <v>122</v>
      </c>
      <c r="I18" s="47" t="s">
        <v>49</v>
      </c>
      <c r="J18" s="47" t="s">
        <v>82</v>
      </c>
      <c r="K18" s="46" t="s">
        <v>123</v>
      </c>
      <c r="L18" s="46" t="s">
        <v>124</v>
      </c>
      <c r="M18" s="46" t="s">
        <v>125</v>
      </c>
      <c r="N18" s="47">
        <v>200</v>
      </c>
      <c r="O18" s="46" t="s">
        <v>126</v>
      </c>
      <c r="P18" s="47">
        <v>200</v>
      </c>
      <c r="Q18" s="46" t="s">
        <v>232</v>
      </c>
      <c r="R18" s="47">
        <v>391</v>
      </c>
      <c r="S18" s="47" t="s">
        <v>53</v>
      </c>
      <c r="T18" s="47" t="s">
        <v>54</v>
      </c>
      <c r="U18" s="49">
        <v>46235</v>
      </c>
      <c r="V18" s="50" t="s">
        <v>234</v>
      </c>
      <c r="W18" s="47" t="s">
        <v>56</v>
      </c>
      <c r="X18" s="46" t="s">
        <v>127</v>
      </c>
    </row>
    <row r="19" spans="1:24" ht="78.5" customHeight="1">
      <c r="A19" s="47" t="s">
        <v>128</v>
      </c>
      <c r="B19" s="50" t="s">
        <v>129</v>
      </c>
      <c r="C19" s="47" t="s">
        <v>15</v>
      </c>
      <c r="D19" s="47" t="s">
        <v>44</v>
      </c>
      <c r="E19" s="47" t="s">
        <v>93</v>
      </c>
      <c r="F19" s="46" t="s">
        <v>130</v>
      </c>
      <c r="G19" s="47" t="s">
        <v>110</v>
      </c>
      <c r="H19" s="47" t="s">
        <v>131</v>
      </c>
      <c r="I19" s="47" t="s">
        <v>49</v>
      </c>
      <c r="J19" s="47" t="s">
        <v>82</v>
      </c>
      <c r="K19" s="46" t="s">
        <v>132</v>
      </c>
      <c r="L19" s="46" t="s">
        <v>133</v>
      </c>
      <c r="M19" s="46" t="s">
        <v>134</v>
      </c>
      <c r="N19" s="47">
        <v>200</v>
      </c>
      <c r="O19" s="46" t="s">
        <v>135</v>
      </c>
      <c r="P19" s="47">
        <v>200</v>
      </c>
      <c r="Q19" s="46" t="s">
        <v>237</v>
      </c>
      <c r="R19" s="47">
        <v>481</v>
      </c>
      <c r="S19" s="47" t="s">
        <v>53</v>
      </c>
      <c r="T19" s="47" t="s">
        <v>54</v>
      </c>
      <c r="U19" s="49">
        <v>46235</v>
      </c>
      <c r="V19" s="50" t="s">
        <v>235</v>
      </c>
      <c r="W19" s="47" t="s">
        <v>56</v>
      </c>
      <c r="X19" s="46" t="s">
        <v>236</v>
      </c>
    </row>
    <row r="20" spans="1:24" ht="78.5" customHeight="1">
      <c r="A20" s="47" t="s">
        <v>136</v>
      </c>
      <c r="B20" s="50" t="s">
        <v>137</v>
      </c>
      <c r="C20" s="47" t="s">
        <v>15</v>
      </c>
      <c r="D20" s="47" t="s">
        <v>44</v>
      </c>
      <c r="E20" s="47" t="s">
        <v>45</v>
      </c>
      <c r="F20" s="46" t="s">
        <v>138</v>
      </c>
      <c r="G20" s="47" t="s">
        <v>76</v>
      </c>
      <c r="H20" s="47" t="s">
        <v>139</v>
      </c>
      <c r="I20" s="47" t="s">
        <v>49</v>
      </c>
      <c r="J20" s="47" t="s">
        <v>82</v>
      </c>
      <c r="K20" s="46" t="s">
        <v>140</v>
      </c>
      <c r="L20" s="46" t="s">
        <v>133</v>
      </c>
      <c r="M20" s="46" t="s">
        <v>141</v>
      </c>
      <c r="N20" s="47">
        <v>200</v>
      </c>
      <c r="O20" s="46" t="s">
        <v>142</v>
      </c>
      <c r="P20" s="47">
        <v>200</v>
      </c>
      <c r="Q20" s="46" t="s">
        <v>238</v>
      </c>
      <c r="R20" s="47">
        <v>379</v>
      </c>
      <c r="S20" s="47" t="s">
        <v>53</v>
      </c>
      <c r="T20" s="47" t="s">
        <v>54</v>
      </c>
      <c r="U20" s="49">
        <v>46235</v>
      </c>
      <c r="V20" s="50" t="s">
        <v>239</v>
      </c>
      <c r="W20" s="47" t="s">
        <v>56</v>
      </c>
      <c r="X20" s="46" t="s">
        <v>228</v>
      </c>
    </row>
    <row r="21" spans="1:24" ht="78.5" customHeight="1">
      <c r="A21" s="47" t="s">
        <v>143</v>
      </c>
      <c r="B21" s="50" t="s">
        <v>144</v>
      </c>
      <c r="C21" s="47" t="s">
        <v>15</v>
      </c>
      <c r="D21" s="47" t="s">
        <v>44</v>
      </c>
      <c r="E21" s="47" t="s">
        <v>45</v>
      </c>
      <c r="F21" s="46" t="s">
        <v>145</v>
      </c>
      <c r="G21" s="47" t="s">
        <v>47</v>
      </c>
      <c r="H21" s="47" t="s">
        <v>146</v>
      </c>
      <c r="I21" s="47" t="s">
        <v>49</v>
      </c>
      <c r="J21" s="47" t="s">
        <v>49</v>
      </c>
      <c r="K21" s="46" t="s">
        <v>147</v>
      </c>
      <c r="L21" s="46" t="s">
        <v>148</v>
      </c>
      <c r="M21" s="46" t="s">
        <v>149</v>
      </c>
      <c r="N21" s="47">
        <v>200</v>
      </c>
      <c r="O21" s="46" t="s">
        <v>150</v>
      </c>
      <c r="P21" s="47">
        <v>200</v>
      </c>
      <c r="Q21" s="46" t="s">
        <v>150</v>
      </c>
      <c r="R21" s="47">
        <v>358</v>
      </c>
      <c r="S21" s="47" t="s">
        <v>53</v>
      </c>
      <c r="T21" s="47" t="s">
        <v>54</v>
      </c>
      <c r="U21" s="49">
        <v>46235</v>
      </c>
      <c r="V21" s="50" t="s">
        <v>240</v>
      </c>
      <c r="W21" s="47" t="s">
        <v>56</v>
      </c>
      <c r="X21" s="46" t="s">
        <v>241</v>
      </c>
    </row>
  </sheetData>
  <mergeCells count="4">
    <mergeCell ref="A1:X1"/>
    <mergeCell ref="A2:X2"/>
    <mergeCell ref="A4:H5"/>
    <mergeCell ref="J4:X5"/>
  </mergeCells>
  <conditionalFormatting sqref="E8:E107">
    <cfRule type="containsText" dxfId="30" priority="6" operator="containsText" text="Critical"/>
    <cfRule type="containsText" dxfId="29" priority="7" operator="containsText" text="High"/>
  </conditionalFormatting>
  <conditionalFormatting sqref="S8:S107">
    <cfRule type="containsText" dxfId="28" priority="1" operator="containsText" text="Pass"/>
    <cfRule type="containsText" dxfId="27" priority="2" operator="containsText" text="Fail"/>
    <cfRule type="containsText" dxfId="26" priority="3" operator="containsText" text="Blocked"/>
    <cfRule type="containsText" dxfId="25" priority="4" operator="containsText" text="Not Run"/>
    <cfRule type="containsText" dxfId="24" priority="5" operator="containsText" text="Retest"/>
  </conditionalFormatting>
  <hyperlinks>
    <hyperlink ref="B8:B21" r:id="rId1" display="REQ-API-001" xr:uid="{2F22714C-4B98-4717-AD74-242863DAA50E}"/>
    <hyperlink ref="V8" r:id="rId2" xr:uid="{3989FBEC-31EF-48DC-BA56-A7C1DC778CEF}"/>
    <hyperlink ref="V9" r:id="rId3" xr:uid="{51F9B861-43B1-41BA-B2CE-5FA56AC4690C}"/>
    <hyperlink ref="V10" r:id="rId4" xr:uid="{FE1095FC-7615-42DE-825D-D437DA98C1D5}"/>
    <hyperlink ref="V11" r:id="rId5" xr:uid="{C0BB1128-F11E-4AA0-B9B2-4D55788F1C01}"/>
    <hyperlink ref="V12" r:id="rId6" xr:uid="{46D08063-0436-4B8B-85A7-DE34EDE22F51}"/>
    <hyperlink ref="V14" r:id="rId7" xr:uid="{6896DF5E-EAE0-4027-8D66-B6D7F3F3C2E0}"/>
    <hyperlink ref="V15" r:id="rId8" xr:uid="{2B57E4F1-529B-4FD9-B00A-5120B8D01158}"/>
    <hyperlink ref="V16" r:id="rId9" xr:uid="{DA7F5318-F6B1-4C87-8DBA-504F9DDF3CFD}"/>
    <hyperlink ref="V17" r:id="rId10" xr:uid="{F78F90B4-4CD6-44C1-B48A-48220D898053}"/>
    <hyperlink ref="V13" r:id="rId11" xr:uid="{8D987275-490A-47B8-AC40-41D01D0414A6}"/>
    <hyperlink ref="V18" r:id="rId12" xr:uid="{B597C1D7-86ED-4E8A-9C8B-D8CE9CAB5E87}"/>
    <hyperlink ref="V19" r:id="rId13" xr:uid="{717D28DF-88BC-4052-99B9-C6D95EF24939}"/>
    <hyperlink ref="V20" r:id="rId14" xr:uid="{5FC8FE53-C8CA-49C1-91BE-48BDC3A91F57}"/>
    <hyperlink ref="V21" r:id="rId15" xr:uid="{4511FEC4-9BE5-416A-9261-57BF316C77D7}"/>
  </hyperlinks>
  <pageMargins left="0.7" right="0.7" top="0.75" bottom="0.75" header="0.3" footer="0.3"/>
  <tableParts count="1">
    <tablePart r:id="rId16"/>
  </tableParts>
  <extLst>
    <ext xmlns:x14="http://schemas.microsoft.com/office/spreadsheetml/2009/9/main" uri="{CCE6A557-97BC-4b89-ADB6-D9C93CAAB3DF}">
      <x14:dataValidations xmlns:xm="http://schemas.microsoft.com/office/excel/2006/main" count="5">
        <x14:dataValidation type="list" xr:uid="{00000000-0002-0000-0100-000000000000}">
          <x14:formula1>
            <xm:f>Lists!$A$2:$A$6</xm:f>
          </x14:formula1>
          <xm:sqref>C8:C107</xm:sqref>
        </x14:dataValidation>
        <x14:dataValidation type="list" xr:uid="{00000000-0002-0000-0100-000001000000}">
          <x14:formula1>
            <xm:f>Lists!$B$2:$B$3</xm:f>
          </x14:formula1>
          <xm:sqref>D8:D107</xm:sqref>
        </x14:dataValidation>
        <x14:dataValidation type="list" xr:uid="{00000000-0002-0000-0100-000002000000}">
          <x14:formula1>
            <xm:f>Lists!$C$2:$C$5</xm:f>
          </x14:formula1>
          <xm:sqref>E8:E107</xm:sqref>
        </x14:dataValidation>
        <x14:dataValidation type="list" xr:uid="{00000000-0002-0000-0100-000003000000}">
          <x14:formula1>
            <xm:f>Lists!$D$2:$D$5</xm:f>
          </x14:formula1>
          <xm:sqref>G8:G107</xm:sqref>
        </x14:dataValidation>
        <x14:dataValidation type="list" xr:uid="{00000000-0002-0000-0100-000004000000}">
          <x14:formula1>
            <xm:f>Lists!$E$2:$E$6</xm:f>
          </x14:formula1>
          <xm:sqref>S8:S107</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23"/>
  <sheetViews>
    <sheetView showGridLines="0" topLeftCell="A13" workbookViewId="0">
      <selection activeCell="I20" sqref="I20"/>
    </sheetView>
  </sheetViews>
  <sheetFormatPr defaultRowHeight="14"/>
  <cols>
    <col min="1" max="1" width="24" customWidth="1"/>
    <col min="2" max="2" width="16" customWidth="1"/>
    <col min="3" max="3" width="28" customWidth="1"/>
    <col min="4" max="4" width="58" customWidth="1"/>
    <col min="5" max="8" width="4" customWidth="1"/>
  </cols>
  <sheetData>
    <row r="1" spans="1:8" ht="36" customHeight="1">
      <c r="A1" s="11" t="s">
        <v>151</v>
      </c>
      <c r="B1" s="11"/>
      <c r="C1" s="11"/>
      <c r="D1" s="11"/>
      <c r="E1" s="11"/>
      <c r="F1" s="11"/>
      <c r="G1" s="11"/>
      <c r="H1" s="11"/>
    </row>
    <row r="3" spans="1:8" ht="15.5">
      <c r="A3" s="44" t="s">
        <v>152</v>
      </c>
      <c r="B3" s="44"/>
      <c r="C3" s="44"/>
      <c r="D3" s="44"/>
      <c r="E3" s="44"/>
      <c r="F3" s="44"/>
      <c r="G3" s="44"/>
      <c r="H3" s="44"/>
    </row>
    <row r="4" spans="1:8" ht="24" customHeight="1">
      <c r="A4" s="23" t="s">
        <v>153</v>
      </c>
      <c r="B4" s="24"/>
      <c r="C4" s="24"/>
      <c r="D4" s="24"/>
      <c r="E4" s="24"/>
      <c r="F4" s="24"/>
      <c r="G4" s="24"/>
      <c r="H4" s="25"/>
    </row>
    <row r="5" spans="1:8" ht="24" customHeight="1">
      <c r="A5" s="26"/>
      <c r="B5" s="27"/>
      <c r="C5" s="27"/>
      <c r="D5" s="27"/>
      <c r="E5" s="27"/>
      <c r="F5" s="27"/>
      <c r="G5" s="27"/>
      <c r="H5" s="28"/>
    </row>
    <row r="6" spans="1:8" ht="24" customHeight="1">
      <c r="A6" s="26"/>
      <c r="B6" s="27"/>
      <c r="C6" s="27"/>
      <c r="D6" s="27"/>
      <c r="E6" s="27"/>
      <c r="F6" s="27"/>
      <c r="G6" s="27"/>
      <c r="H6" s="28"/>
    </row>
    <row r="7" spans="1:8" ht="24" customHeight="1">
      <c r="A7" s="26"/>
      <c r="B7" s="27"/>
      <c r="C7" s="27"/>
      <c r="D7" s="27"/>
      <c r="E7" s="27"/>
      <c r="F7" s="27"/>
      <c r="G7" s="27"/>
      <c r="H7" s="28"/>
    </row>
    <row r="8" spans="1:8" ht="24" customHeight="1">
      <c r="A8" s="26"/>
      <c r="B8" s="27"/>
      <c r="C8" s="27"/>
      <c r="D8" s="27"/>
      <c r="E8" s="27"/>
      <c r="F8" s="27"/>
      <c r="G8" s="27"/>
      <c r="H8" s="28"/>
    </row>
    <row r="9" spans="1:8" ht="24" customHeight="1">
      <c r="A9" s="29"/>
      <c r="B9" s="30"/>
      <c r="C9" s="30"/>
      <c r="D9" s="30"/>
      <c r="E9" s="30"/>
      <c r="F9" s="30"/>
      <c r="G9" s="30"/>
      <c r="H9" s="31"/>
    </row>
    <row r="11" spans="1:8">
      <c r="A11" s="5" t="s">
        <v>154</v>
      </c>
      <c r="B11" s="6" t="s">
        <v>155</v>
      </c>
      <c r="C11" s="6" t="s">
        <v>156</v>
      </c>
      <c r="D11" s="7" t="s">
        <v>157</v>
      </c>
    </row>
    <row r="12" spans="1:8" ht="42" customHeight="1">
      <c r="A12" s="47" t="s">
        <v>20</v>
      </c>
      <c r="B12" s="47" t="s">
        <v>158</v>
      </c>
      <c r="C12" s="47" t="s">
        <v>159</v>
      </c>
      <c r="D12" s="47" t="s">
        <v>160</v>
      </c>
    </row>
    <row r="13" spans="1:8" ht="42" customHeight="1">
      <c r="A13" s="47" t="s">
        <v>21</v>
      </c>
      <c r="B13" s="47" t="s">
        <v>158</v>
      </c>
      <c r="C13" s="47" t="s">
        <v>161</v>
      </c>
      <c r="D13" s="47" t="s">
        <v>162</v>
      </c>
    </row>
    <row r="14" spans="1:8" ht="42" customHeight="1">
      <c r="A14" s="47" t="s">
        <v>163</v>
      </c>
      <c r="B14" s="47" t="s">
        <v>158</v>
      </c>
      <c r="C14" s="47" t="s">
        <v>164</v>
      </c>
      <c r="D14" s="47" t="s">
        <v>165</v>
      </c>
    </row>
    <row r="15" spans="1:8" ht="42" customHeight="1">
      <c r="A15" s="47" t="s">
        <v>28</v>
      </c>
      <c r="B15" s="47" t="s">
        <v>166</v>
      </c>
      <c r="C15" s="47" t="s">
        <v>167</v>
      </c>
      <c r="D15" s="47" t="s">
        <v>168</v>
      </c>
    </row>
    <row r="16" spans="1:8" ht="42" customHeight="1">
      <c r="A16" s="47" t="s">
        <v>31</v>
      </c>
      <c r="B16" s="47" t="s">
        <v>158</v>
      </c>
      <c r="C16" s="47" t="s">
        <v>169</v>
      </c>
      <c r="D16" s="47" t="s">
        <v>170</v>
      </c>
    </row>
    <row r="17" spans="1:4" ht="42" customHeight="1">
      <c r="A17" s="47" t="s">
        <v>33</v>
      </c>
      <c r="B17" s="47" t="s">
        <v>171</v>
      </c>
      <c r="C17" s="47" t="s">
        <v>172</v>
      </c>
      <c r="D17" s="47" t="s">
        <v>173</v>
      </c>
    </row>
    <row r="18" spans="1:4" ht="42" customHeight="1">
      <c r="A18" s="47" t="s">
        <v>34</v>
      </c>
      <c r="B18" s="47" t="s">
        <v>171</v>
      </c>
      <c r="C18" s="47" t="s">
        <v>174</v>
      </c>
      <c r="D18" s="47" t="s">
        <v>175</v>
      </c>
    </row>
    <row r="19" spans="1:4" ht="42" customHeight="1">
      <c r="A19" s="47" t="s">
        <v>176</v>
      </c>
      <c r="B19" s="47" t="s">
        <v>171</v>
      </c>
      <c r="C19" s="47" t="s">
        <v>177</v>
      </c>
      <c r="D19" s="47" t="s">
        <v>178</v>
      </c>
    </row>
    <row r="20" spans="1:4" ht="42" customHeight="1">
      <c r="A20" s="47" t="s">
        <v>36</v>
      </c>
      <c r="B20" s="47" t="s">
        <v>158</v>
      </c>
      <c r="C20" s="47" t="s">
        <v>179</v>
      </c>
      <c r="D20" s="47" t="s">
        <v>180</v>
      </c>
    </row>
    <row r="21" spans="1:4" ht="42" customHeight="1">
      <c r="A21" s="47" t="s">
        <v>181</v>
      </c>
      <c r="B21" s="47" t="s">
        <v>171</v>
      </c>
      <c r="C21" s="47" t="s">
        <v>182</v>
      </c>
      <c r="D21" s="47" t="s">
        <v>183</v>
      </c>
    </row>
    <row r="22" spans="1:4" ht="42" customHeight="1">
      <c r="A22" s="47" t="s">
        <v>40</v>
      </c>
      <c r="B22" s="47" t="s">
        <v>184</v>
      </c>
      <c r="C22" s="47" t="s">
        <v>185</v>
      </c>
      <c r="D22" s="47" t="s">
        <v>186</v>
      </c>
    </row>
    <row r="23" spans="1:4" ht="42" customHeight="1">
      <c r="A23" s="47" t="s">
        <v>41</v>
      </c>
      <c r="B23" s="47" t="s">
        <v>187</v>
      </c>
      <c r="C23" s="47" t="s">
        <v>188</v>
      </c>
      <c r="D23" s="47" t="s">
        <v>189</v>
      </c>
    </row>
  </sheetData>
  <mergeCells count="3">
    <mergeCell ref="A1:H1"/>
    <mergeCell ref="A3:H3"/>
    <mergeCell ref="A4:H9"/>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E6"/>
  <sheetViews>
    <sheetView showGridLines="0" workbookViewId="0">
      <selection activeCell="D15" sqref="D15"/>
    </sheetView>
  </sheetViews>
  <sheetFormatPr defaultRowHeight="14"/>
  <cols>
    <col min="1" max="1" width="24" customWidth="1"/>
    <col min="2" max="2" width="22" customWidth="1"/>
    <col min="3" max="3" width="16" customWidth="1"/>
    <col min="4" max="4" width="14" customWidth="1"/>
    <col min="5" max="5" width="16" customWidth="1"/>
  </cols>
  <sheetData>
    <row r="1" spans="1:5">
      <c r="A1" s="8" t="s">
        <v>190</v>
      </c>
      <c r="B1" s="9" t="s">
        <v>191</v>
      </c>
      <c r="C1" s="9" t="s">
        <v>192</v>
      </c>
      <c r="D1" s="9" t="s">
        <v>193</v>
      </c>
      <c r="E1" s="10" t="s">
        <v>194</v>
      </c>
    </row>
    <row r="2" spans="1:5">
      <c r="A2" s="48" t="s">
        <v>10</v>
      </c>
      <c r="B2" s="48" t="s">
        <v>44</v>
      </c>
      <c r="C2" s="48" t="s">
        <v>93</v>
      </c>
      <c r="D2" s="48" t="s">
        <v>47</v>
      </c>
      <c r="E2" s="48" t="s">
        <v>5</v>
      </c>
    </row>
    <row r="3" spans="1:5">
      <c r="A3" s="48" t="s">
        <v>12</v>
      </c>
      <c r="B3" s="48" t="s">
        <v>60</v>
      </c>
      <c r="C3" s="48" t="s">
        <v>45</v>
      </c>
      <c r="D3" s="48" t="s">
        <v>63</v>
      </c>
      <c r="E3" s="48" t="s">
        <v>53</v>
      </c>
    </row>
    <row r="4" spans="1:5">
      <c r="A4" s="48" t="s">
        <v>13</v>
      </c>
      <c r="B4" s="48"/>
      <c r="C4" s="48" t="s">
        <v>61</v>
      </c>
      <c r="D4" s="48" t="s">
        <v>76</v>
      </c>
      <c r="E4" s="48" t="s">
        <v>195</v>
      </c>
    </row>
    <row r="5" spans="1:5">
      <c r="A5" s="48" t="s">
        <v>14</v>
      </c>
      <c r="B5" s="48"/>
      <c r="C5" s="48" t="s">
        <v>196</v>
      </c>
      <c r="D5" s="48" t="s">
        <v>110</v>
      </c>
      <c r="E5" s="48" t="s">
        <v>197</v>
      </c>
    </row>
    <row r="6" spans="1:5">
      <c r="A6" s="48" t="s">
        <v>15</v>
      </c>
      <c r="B6" s="48"/>
      <c r="C6" s="48"/>
      <c r="D6" s="48"/>
      <c r="E6" s="48" t="s">
        <v>198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Overview</vt:lpstr>
      <vt:lpstr>API Test Cases</vt:lpstr>
      <vt:lpstr>Instructions</vt:lpstr>
      <vt:lpstr>Lists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Kevin McMahon</cp:lastModifiedBy>
  <dcterms:modified xsi:type="dcterms:W3CDTF">2026-08-01T05:20:52Z</dcterms:modified>
</cp:coreProperties>
</file>