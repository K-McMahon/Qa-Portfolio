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kgmcm\OneDrive\Desktop\QA Portfolio\Qa-Portfolio\Automation Exercise Project\Bug Report\"/>
    </mc:Choice>
  </mc:AlternateContent>
  <xr:revisionPtr revIDLastSave="0" documentId="13_ncr:1_{E49824EF-021B-4340-A36B-309A3C7C123B}" xr6:coauthVersionLast="47" xr6:coauthVersionMax="47" xr10:uidLastSave="{00000000-0000-0000-0000-000000000000}"/>
  <bookViews>
    <workbookView xWindow="-110" yWindow="-110" windowWidth="38620" windowHeight="21100" xr2:uid="{950A3755-BD06-4699-808C-29ABC2B08016}"/>
  </bookViews>
  <sheets>
    <sheet name="Bug Report"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J5" i="1" l="1"/>
  <c r="G5" i="1"/>
  <c r="D5" i="1"/>
  <c r="A5" i="1"/>
</calcChain>
</file>

<file path=xl/sharedStrings.xml><?xml version="1.0" encoding="utf-8"?>
<sst xmlns="http://schemas.openxmlformats.org/spreadsheetml/2006/main" count="188" uniqueCount="71">
  <si>
    <t>Project: Automation Exercise Ecommerce Website QA Testing | Record one independently reproducible defect per row</t>
  </si>
  <si>
    <t>Total Defects</t>
  </si>
  <si>
    <t>Open</t>
  </si>
  <si>
    <t>High/Critical</t>
  </si>
  <si>
    <t>Ready for Retest</t>
  </si>
  <si>
    <t>Related Test Case</t>
  </si>
  <si>
    <t>Module</t>
  </si>
  <si>
    <t>Defect Type</t>
  </si>
  <si>
    <t>Summary / Title</t>
  </si>
  <si>
    <t>Severity</t>
  </si>
  <si>
    <t>Priority</t>
  </si>
  <si>
    <t>Environment</t>
  </si>
  <si>
    <t>Preconditions</t>
  </si>
  <si>
    <t>Steps to Reproduce</t>
  </si>
  <si>
    <t>Expected Result</t>
  </si>
  <si>
    <t>Actual Result</t>
  </si>
  <si>
    <t>Status</t>
  </si>
  <si>
    <t>Reported By</t>
  </si>
  <si>
    <t>Date Reported</t>
  </si>
  <si>
    <t>Evidence / Screenshot</t>
  </si>
  <si>
    <t>Assigned To</t>
  </si>
  <si>
    <t>Resolution / Developer Notes</t>
  </si>
  <si>
    <t>Retest Status</t>
  </si>
  <si>
    <t>Retest Date</t>
  </si>
  <si>
    <t>QA Notes</t>
  </si>
  <si>
    <t>AE-BUG-001</t>
  </si>
  <si>
    <t>AE-LOGOUT-001</t>
  </si>
  <si>
    <t>Logout</t>
  </si>
  <si>
    <t>Session / Navigation</t>
  </si>
  <si>
    <t>Authenticated user information remains visible after logout when navigating back</t>
  </si>
  <si>
    <t>Medium</t>
  </si>
  <si>
    <t>High</t>
  </si>
  <si>
    <t>1. Active registered test account exists.
2. User begins logged out.</t>
  </si>
  <si>
    <t>1. Open Automation Exercise.
2. Click Signup / Login.
3. Enter valid registered credentials.
4. Click Login.
5. Confirm “Logged in as [username]” is displayed.
6. Click Logout.
7. Click the browser Back button.
8. Observe the page.
9. Refresh the page and attempt to open an authenticated feature to verify whether access persists.</t>
  </si>
  <si>
    <t>After logout, browser navigation should not display authenticated user information or provide access to authenticated functionality.</t>
  </si>
  <si>
    <t>After logout, clicking the browser Back button displayed the previous page with “Logged in as Kevin Tester” and the Logout option. Further verification is required to determine whether the page was cached or the authenticated session remained active.</t>
  </si>
  <si>
    <t>Not Retested</t>
  </si>
  <si>
    <t>AE-BUG-002</t>
  </si>
  <si>
    <t>Error Handling / Information Disclosure</t>
  </si>
  <si>
    <t>Repeated logout request causes an unhandled KeyError and exposes internal debugging information</t>
  </si>
  <si>
    <t>1. Open Automation Exercise.
2. Click Signup / Login.
3. Enter valid registered credentials.
4. Click Login.
5. Click Logout.
6. Click the browser Back button.
7. Click Logout again.</t>
  </si>
  <si>
    <t>The application should safely handle the repeated logout request and redirect the unauthenticated user to Signup / Login without displaying an error or internal information.</t>
  </si>
  <si>
    <t>The application displayed “KeyError at /logout” because the user_id session key was missing. A Django debug page exposed framework and Python versions, server paths, traceback details, cookies, and session-related information.</t>
  </si>
  <si>
    <t>Automation Exercise Defect Reports</t>
  </si>
  <si>
    <t>Defect IDA7:J17A1A7:A7:P17</t>
  </si>
  <si>
    <t>Notes:</t>
  </si>
  <si>
    <t>KM</t>
  </si>
  <si>
    <t>Potential cached page behavior. Confirm session state by refreshing and accessing a protected feature before final severity assessment.</t>
  </si>
  <si>
    <t>AE-BUG-003</t>
  </si>
  <si>
    <t>AE-CART-001</t>
  </si>
  <si>
    <t>Cart</t>
  </si>
  <si>
    <t>Functional / Calculation Display</t>
  </si>
  <si>
    <t>Cart does not display the overall total after multiple products are added</t>
  </si>
  <si>
    <t>Web application
Brave v193.129/Win11
URL: https://automationexercise.com</t>
  </si>
  <si>
    <t>Web application
Brave v193.129/Win11
Django 3.2.8 shown in response
Python 3.7.17 shown in response
URL: https://automationexercise.com/logout</t>
  </si>
  <si>
    <t>Web application
Brave v193.129/Win11</t>
  </si>
  <si>
    <t>1. Website is available
2. User is logged out
3. At least two products are available</t>
  </si>
  <si>
    <t>1. Open https://automationexercise.com while logged out.
2. Click the Products button.
3. Add the first product to the cart.
4. Click Continue Shopping.
5. Add the second product to the cart.
6. Click View Cart.
7. Verify that both products appear in the cart.
8. Review the prices, quantities, line totals, and overall cart total.</t>
  </si>
  <si>
    <t>Both products should appear with the correct unit prices, quantities, and line totals. The cart should also display an accurate overall total equal to the sum of all product line totals.</t>
  </si>
  <si>
    <t>Both products appear with the correct unit prices, quantities, and line totals, but the overall cart total is not displayed.</t>
  </si>
  <si>
    <t>..\Screenshots\AE-LOGOUT-001.png</t>
  </si>
  <si>
    <t>..\Screenshots\AE-CART-001.png</t>
  </si>
  <si>
    <t>Meta data, session tokens and cookies blurred in screenshot</t>
  </si>
  <si>
    <t>AE-BUG-004</t>
  </si>
  <si>
    <t>AE-CART-002</t>
  </si>
  <si>
    <t>Functional / User Interface</t>
  </si>
  <si>
    <t>The quantity field on the product-detail page does not respond when the user attempts to edit it. As a result, the user cannot select the desired quantity before adding the product to the cart.</t>
  </si>
  <si>
    <t xml:space="preserve">1. Open https://automationexercise.com while logged out.
2. Click View Product for any available product.
3. Add product to Cart
4. View Cart
5. Click inside the quantity field.
6. Attempt to change the quantity from 1 to 4.
</t>
  </si>
  <si>
    <t>The quantity field should accept a valid quantity of 4. After the product is added, the cart should display the selected product with a quantity of 4 and a line total equal to the unit price multiplied by 4</t>
  </si>
  <si>
    <t>..\Screenshots\AE-CART-002.png</t>
  </si>
  <si>
    <t>The populated cart page is displayed, but the quantity field cannot be edited. Clicking the field produces no response, preventing the user from selecting a quantity of 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</si>
</sst>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9">
    <font>
      <sz val="11"/>
      <color theme="1"/>
      <name val="Aptos Narrow"/>
      <family val="2"/>
      <scheme val="minor"/>
    </font>
    <font>
      <b/>
      <sz val="18"/>
      <color rgb="FFFFFFFF"/>
      <name val="Carlito"/>
    </font>
    <font>
      <i/>
      <sz val="10"/>
      <color rgb="FF1F2937"/>
      <name val="Carlito"/>
    </font>
    <font>
      <b/>
      <sz val="10"/>
      <color rgb="FF17365D"/>
      <name val="Carlito"/>
    </font>
    <font>
      <i/>
      <sz val="10"/>
      <color rgb="FF7F6000"/>
      <name val="Carlito"/>
    </font>
    <font>
      <b/>
      <sz val="15"/>
      <color rgb="FF17365D"/>
      <name val="Carlito"/>
    </font>
    <font>
      <b/>
      <sz val="10"/>
      <color rgb="FFFFFFFF"/>
      <name val="Carlito"/>
    </font>
    <font>
      <sz val="10"/>
      <color rgb="FF1F2937"/>
      <name val="Carlito"/>
    </font>
    <font>
      <u/>
      <sz val="11"/>
      <color theme="10"/>
      <name val="Aptos Narrow"/>
      <family val="2"/>
      <scheme val="minor"/>
    </font>
  </fonts>
  <fills count="7">
    <fill>
      <patternFill patternType="none"/>
    </fill>
    <fill>
      <patternFill patternType="gray125"/>
    </fill>
    <fill>
      <patternFill patternType="solid">
        <fgColor rgb="FF17365D"/>
      </patternFill>
    </fill>
    <fill>
      <patternFill patternType="solid">
        <fgColor rgb="FFD9EAF7"/>
      </patternFill>
    </fill>
    <fill>
      <patternFill patternType="solid">
        <fgColor rgb="FFF4F6F8"/>
      </patternFill>
    </fill>
    <fill>
      <patternFill patternType="solid">
        <fgColor rgb="FFFFF2CC"/>
      </patternFill>
    </fill>
    <fill>
      <patternFill patternType="solid">
        <fgColor rgb="FF2F75B5"/>
      </patternFill>
    </fill>
  </fills>
  <borders count="13">
    <border>
      <left/>
      <right/>
      <top/>
      <bottom/>
      <diagonal/>
    </border>
    <border>
      <left style="thin">
        <color rgb="FFC9D2DC"/>
      </left>
      <right/>
      <top style="thin">
        <color rgb="FFC9D2DC"/>
      </top>
      <bottom/>
      <diagonal/>
    </border>
    <border>
      <left/>
      <right style="thin">
        <color rgb="FFC9D2DC"/>
      </right>
      <top style="thin">
        <color rgb="FFC9D2DC"/>
      </top>
      <bottom/>
      <diagonal/>
    </border>
    <border>
      <left style="thin">
        <color rgb="FFD6B656"/>
      </left>
      <right/>
      <top style="thin">
        <color rgb="FFD6B656"/>
      </top>
      <bottom/>
      <diagonal/>
    </border>
    <border>
      <left/>
      <right/>
      <top style="thin">
        <color rgb="FFD6B656"/>
      </top>
      <bottom/>
      <diagonal/>
    </border>
    <border>
      <left/>
      <right style="thin">
        <color rgb="FFD6B656"/>
      </right>
      <top style="thin">
        <color rgb="FFD6B656"/>
      </top>
      <bottom/>
      <diagonal/>
    </border>
    <border>
      <left style="thin">
        <color rgb="FFC9D2DC"/>
      </left>
      <right/>
      <top/>
      <bottom style="thin">
        <color rgb="FFC9D2DC"/>
      </bottom>
      <diagonal/>
    </border>
    <border>
      <left/>
      <right style="thin">
        <color rgb="FFC9D2DC"/>
      </right>
      <top/>
      <bottom style="thin">
        <color rgb="FFC9D2DC"/>
      </bottom>
      <diagonal/>
    </border>
    <border>
      <left style="thin">
        <color rgb="FFD6B656"/>
      </left>
      <right/>
      <top/>
      <bottom style="thin">
        <color rgb="FFD6B656"/>
      </bottom>
      <diagonal/>
    </border>
    <border>
      <left/>
      <right/>
      <top/>
      <bottom style="thin">
        <color rgb="FFD6B656"/>
      </bottom>
      <diagonal/>
    </border>
    <border>
      <left/>
      <right style="thin">
        <color rgb="FFD6B656"/>
      </right>
      <top/>
      <bottom style="thin">
        <color rgb="FFD6B656"/>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8" fillId="0" borderId="0" applyNumberFormat="0" applyFill="0" applyBorder="0" applyAlignment="0" applyProtection="0"/>
  </cellStyleXfs>
  <cellXfs count="23">
    <xf numFmtId="0" fontId="0" fillId="0" borderId="0" xfId="0"/>
    <xf numFmtId="0" fontId="7" fillId="0" borderId="0" xfId="0" applyFont="1" applyAlignment="1">
      <alignment horizontal="center" vertical="top" wrapText="1"/>
    </xf>
    <xf numFmtId="0" fontId="7" fillId="0" borderId="0" xfId="0" applyFont="1" applyAlignment="1">
      <alignment vertical="top" wrapText="1"/>
    </xf>
    <xf numFmtId="164" fontId="7" fillId="0" borderId="0" xfId="0" applyNumberFormat="1" applyFont="1" applyAlignment="1">
      <alignment horizontal="center" vertical="top" wrapText="1"/>
    </xf>
    <xf numFmtId="164" fontId="0" fillId="0" borderId="0" xfId="0" applyNumberFormat="1"/>
    <xf numFmtId="0" fontId="6" fillId="6" borderId="11" xfId="0" applyFont="1" applyFill="1" applyBorder="1" applyAlignment="1">
      <alignment horizontal="center" vertical="center" wrapText="1"/>
    </xf>
    <xf numFmtId="0" fontId="7" fillId="0" borderId="11" xfId="0" applyFont="1" applyBorder="1" applyAlignment="1">
      <alignment horizontal="center" vertical="top" wrapText="1"/>
    </xf>
    <xf numFmtId="0" fontId="7" fillId="0" borderId="11" xfId="0" applyFont="1" applyBorder="1" applyAlignment="1">
      <alignment vertical="top" wrapText="1"/>
    </xf>
    <xf numFmtId="164" fontId="7" fillId="0" borderId="11" xfId="0" applyNumberFormat="1" applyFont="1" applyBorder="1" applyAlignment="1">
      <alignment horizontal="center" vertical="top" wrapText="1"/>
    </xf>
    <xf numFmtId="0" fontId="5" fillId="4" borderId="6" xfId="0" applyFont="1" applyFill="1" applyBorder="1" applyAlignment="1">
      <alignment horizontal="center" vertical="center"/>
    </xf>
    <xf numFmtId="0" fontId="5" fillId="4" borderId="7" xfId="0" applyFont="1" applyFill="1" applyBorder="1" applyAlignment="1">
      <alignment horizontal="center" vertical="center"/>
    </xf>
    <xf numFmtId="0" fontId="1" fillId="2" borderId="0" xfId="0" applyFont="1" applyFill="1" applyAlignment="1">
      <alignment horizontal="center" vertical="center"/>
    </xf>
    <xf numFmtId="0" fontId="2" fillId="3" borderId="0" xfId="0" applyFont="1" applyFill="1" applyAlignment="1">
      <alignment horizontal="center" vertical="center"/>
    </xf>
    <xf numFmtId="0" fontId="3" fillId="4" borderId="1" xfId="0" applyFont="1" applyFill="1" applyBorder="1" applyAlignment="1">
      <alignment horizontal="center" vertical="center"/>
    </xf>
    <xf numFmtId="0" fontId="3" fillId="4" borderId="2" xfId="0" applyFont="1" applyFill="1" applyBorder="1" applyAlignment="1">
      <alignment horizontal="center" vertical="center"/>
    </xf>
    <xf numFmtId="0" fontId="4" fillId="5" borderId="3" xfId="0" applyFont="1" applyFill="1" applyBorder="1" applyAlignment="1">
      <alignment horizontal="left" vertical="center" wrapText="1"/>
    </xf>
    <xf numFmtId="0" fontId="4" fillId="5" borderId="4" xfId="0" applyFont="1" applyFill="1" applyBorder="1" applyAlignment="1">
      <alignment horizontal="left" vertical="center" wrapText="1"/>
    </xf>
    <xf numFmtId="0" fontId="4" fillId="5" borderId="5" xfId="0" applyFont="1" applyFill="1" applyBorder="1" applyAlignment="1">
      <alignment horizontal="left" vertical="center" wrapText="1"/>
    </xf>
    <xf numFmtId="0" fontId="4" fillId="5" borderId="8" xfId="0" applyFont="1" applyFill="1" applyBorder="1" applyAlignment="1">
      <alignment horizontal="left" vertical="center" wrapText="1"/>
    </xf>
    <xf numFmtId="0" fontId="4" fillId="5" borderId="9" xfId="0" applyFont="1" applyFill="1" applyBorder="1" applyAlignment="1">
      <alignment horizontal="left" vertical="center" wrapText="1"/>
    </xf>
    <xf numFmtId="0" fontId="4" fillId="5" borderId="10" xfId="0" applyFont="1" applyFill="1" applyBorder="1" applyAlignment="1">
      <alignment horizontal="left" vertical="center" wrapText="1"/>
    </xf>
    <xf numFmtId="0" fontId="7" fillId="0" borderId="12" xfId="0" applyFont="1" applyBorder="1" applyAlignment="1">
      <alignment horizontal="center" vertical="top" wrapText="1"/>
    </xf>
    <xf numFmtId="0" fontId="8" fillId="0" borderId="11" xfId="1" applyBorder="1" applyAlignment="1">
      <alignment horizontal="center" vertical="top" wrapText="1"/>
    </xf>
  </cellXfs>
  <cellStyles count="2">
    <cellStyle name="Hyperlink" xfId="1" builtinId="8"/>
    <cellStyle name="Normal" xfId="0" builtinId="0"/>
  </cellStyles>
  <dxfs count="9">
    <dxf>
      <font>
        <color rgb="FF595959"/>
      </font>
      <fill>
        <patternFill patternType="solid">
          <bgColor rgb="FFE7E6E6"/>
        </patternFill>
      </fill>
    </dxf>
    <dxf>
      <font>
        <b/>
        <color rgb="FF9C0006"/>
      </font>
      <fill>
        <patternFill patternType="solid">
          <bgColor rgb="FFFCE4D6"/>
        </patternFill>
      </fill>
    </dxf>
    <dxf>
      <font>
        <b/>
        <color rgb="FF375623"/>
      </font>
      <fill>
        <patternFill patternType="solid">
          <bgColor rgb="FFE2F0D9"/>
        </patternFill>
      </fill>
    </dxf>
    <dxf>
      <font>
        <b/>
        <color rgb="FF375623"/>
      </font>
      <fill>
        <patternFill patternType="solid">
          <bgColor rgb="FFE2F0D9"/>
        </patternFill>
      </fill>
    </dxf>
    <dxf>
      <font>
        <b/>
        <color rgb="FF7030A0"/>
      </font>
      <fill>
        <patternFill patternType="solid">
          <bgColor rgb="FFE4DFEC"/>
        </patternFill>
      </fill>
    </dxf>
    <dxf>
      <font>
        <b/>
        <color rgb="FF7F6000"/>
      </font>
      <fill>
        <patternFill patternType="solid">
          <bgColor rgb="FFFFF2CC"/>
        </patternFill>
      </fill>
    </dxf>
    <dxf>
      <font>
        <b/>
        <color rgb="FF9C0006"/>
      </font>
      <fill>
        <patternFill patternType="solid">
          <bgColor rgb="FFFCE4D6"/>
        </patternFill>
      </fill>
    </dxf>
    <dxf>
      <font>
        <b/>
        <color rgb="FF7F6000"/>
      </font>
      <fill>
        <patternFill patternType="solid">
          <bgColor rgb="FFFFF2CC"/>
        </patternFill>
      </fill>
    </dxf>
    <dxf>
      <font>
        <b/>
        <color rgb="FF9C0006"/>
      </font>
      <fill>
        <patternFill patternType="solid">
          <bgColor rgb="FFFCE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2E8B93B-AFBB-44AB-AAC3-2B9574A40753}" name="DefectLog" displayName="DefectLog" ref="A7:U17">
  <autoFilter ref="A7:U17" xr:uid="{72E8B93B-AFBB-44AB-AAC3-2B9574A40753}"/>
  <tableColumns count="21">
    <tableColumn id="1" xr3:uid="{71F1E552-2E74-4134-85D0-AB7E0263326D}" name="Defect IDA7:J17A1A7:A7:P17"/>
    <tableColumn id="2" xr3:uid="{853B3365-A879-40E2-A137-6CF46A69CC18}" name="Related Test Case"/>
    <tableColumn id="3" xr3:uid="{7D950267-7224-412D-8C19-1DE8BFB50C82}" name="Module"/>
    <tableColumn id="4" xr3:uid="{FCF68196-7D88-4DA8-8855-C896B7BF31FB}" name="Defect Type"/>
    <tableColumn id="5" xr3:uid="{CADB6391-7C5F-41E8-85B0-04B2965FA9BF}" name="Summary / Title"/>
    <tableColumn id="6" xr3:uid="{E965F887-2F66-49E6-B493-6B2C6D28B9AE}" name="Severity"/>
    <tableColumn id="7" xr3:uid="{78E820A3-5A88-4F3F-B90D-68DBDEBA1552}" name="Priority"/>
    <tableColumn id="8" xr3:uid="{EEE4622F-1A0F-4B0B-A893-07583A834727}" name="Environment"/>
    <tableColumn id="9" xr3:uid="{8A135DE4-9FBA-4545-BCFC-6029BFDEEC1D}" name="Preconditions"/>
    <tableColumn id="10" xr3:uid="{5BA1D979-ECC0-45A8-A5BD-A88521900302}" name="Steps to Reproduce"/>
    <tableColumn id="11" xr3:uid="{4A3C428A-AF6D-44D4-AE4A-FDF6599A66AE}" name="Expected Result"/>
    <tableColumn id="12" xr3:uid="{6A5F0F6E-B986-42B2-8A74-2FA2BA42A82D}" name="Actual Result"/>
    <tableColumn id="13" xr3:uid="{573E3DB4-CAA9-4502-9CAE-0286118DBD28}" name="Status"/>
    <tableColumn id="14" xr3:uid="{89A809ED-7549-4F21-AB6E-3AA5C4C9A2DA}" name="Reported By"/>
    <tableColumn id="15" xr3:uid="{B4AF2D9D-29CB-4BB7-801E-BF3B40978C70}" name="Date Reported"/>
    <tableColumn id="16" xr3:uid="{6D2A19E2-E40A-4124-8E76-9A7FC10F52D1}" name="Evidence / Screenshot"/>
    <tableColumn id="17" xr3:uid="{22F15FB6-A6B3-42B8-9011-8542E707F411}" name="Assigned To"/>
    <tableColumn id="18" xr3:uid="{BB18FDF1-340D-484B-AE4A-139C6325E0DC}" name="Resolution / Developer Notes"/>
    <tableColumn id="19" xr3:uid="{D60DAB17-45E5-46B8-8C9E-7967CD8AE06E}" name="Retest Status"/>
    <tableColumn id="20" xr3:uid="{213082AE-535B-428A-AE50-93ED828A5372}" name="Retest Date"/>
    <tableColumn id="21" xr3:uid="{1ABD0935-DEC0-4566-9907-AF2DDECAC48D}" name="QA 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Screenshots\AE-CART-001.png" TargetMode="External"/><Relationship Id="rId2" Type="http://schemas.openxmlformats.org/officeDocument/2006/relationships/hyperlink" Target="..\Screenshots\AE-LOGOUT-001.png" TargetMode="External"/><Relationship Id="rId1" Type="http://schemas.openxmlformats.org/officeDocument/2006/relationships/hyperlink" Target="..\Screenshots\AE-LOGOUT-001.png" TargetMode="External"/><Relationship Id="rId5" Type="http://schemas.openxmlformats.org/officeDocument/2006/relationships/table" Target="../tables/table1.xml"/><Relationship Id="rId4" Type="http://schemas.openxmlformats.org/officeDocument/2006/relationships/hyperlink" Target="..\Screenshots\AE-CART-002.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96874-4665-4615-B0D9-47BB2889E6CD}">
  <dimension ref="A1:U107"/>
  <sheetViews>
    <sheetView tabSelected="1" topLeftCell="D1" zoomScale="70" zoomScaleNormal="70" workbookViewId="0">
      <selection activeCell="K23" sqref="K23"/>
    </sheetView>
  </sheetViews>
  <sheetFormatPr defaultRowHeight="14.5"/>
  <cols>
    <col min="1" max="1" width="17.453125" customWidth="1"/>
    <col min="2" max="2" width="19.6328125" customWidth="1"/>
    <col min="3" max="3" width="12.26953125" customWidth="1"/>
    <col min="4" max="4" width="21.54296875" customWidth="1"/>
    <col min="5" max="5" width="45.81640625" customWidth="1"/>
    <col min="6" max="7" width="13.08984375" customWidth="1"/>
    <col min="8" max="8" width="34.90625" customWidth="1"/>
    <col min="9" max="9" width="32.7265625" customWidth="1"/>
    <col min="10" max="10" width="52.36328125" customWidth="1"/>
    <col min="11" max="11" width="41.453125" customWidth="1"/>
    <col min="12" max="12" width="45.81640625" customWidth="1"/>
    <col min="13" max="13" width="8.1796875" customWidth="1"/>
    <col min="14" max="14" width="11" customWidth="1"/>
    <col min="15" max="15" width="17.453125" customWidth="1"/>
    <col min="16" max="16" width="34.90625" customWidth="1"/>
    <col min="17" max="17" width="11.81640625" customWidth="1"/>
    <col min="18" max="18" width="37.08984375" customWidth="1"/>
    <col min="19" max="19" width="15.7265625" customWidth="1"/>
    <col min="20" max="20" width="16.36328125" customWidth="1"/>
    <col min="21" max="21" width="41.453125" customWidth="1"/>
  </cols>
  <sheetData>
    <row r="1" spans="1:21" ht="34" customHeight="1">
      <c r="A1" s="11" t="s">
        <v>43</v>
      </c>
      <c r="B1" s="11"/>
      <c r="C1" s="11"/>
      <c r="D1" s="11"/>
      <c r="E1" s="11"/>
      <c r="F1" s="11"/>
      <c r="G1" s="11"/>
      <c r="H1" s="11"/>
      <c r="I1" s="11"/>
      <c r="J1" s="11"/>
      <c r="K1" s="11"/>
      <c r="L1" s="11"/>
      <c r="M1" s="11"/>
      <c r="N1" s="11"/>
      <c r="O1" s="11"/>
      <c r="P1" s="11"/>
      <c r="Q1" s="11"/>
      <c r="R1" s="11"/>
      <c r="S1" s="11"/>
      <c r="T1" s="11"/>
      <c r="U1" s="11"/>
    </row>
    <row r="2" spans="1:21" ht="23" customHeight="1">
      <c r="A2" s="12" t="s">
        <v>0</v>
      </c>
      <c r="B2" s="12"/>
      <c r="C2" s="12"/>
      <c r="D2" s="12"/>
      <c r="E2" s="12"/>
      <c r="F2" s="12"/>
      <c r="G2" s="12"/>
      <c r="H2" s="12"/>
      <c r="I2" s="12"/>
      <c r="J2" s="12"/>
      <c r="K2" s="12"/>
      <c r="L2" s="12"/>
      <c r="M2" s="12"/>
      <c r="N2" s="12"/>
      <c r="O2" s="12"/>
      <c r="P2" s="12"/>
      <c r="Q2" s="12"/>
      <c r="R2" s="12"/>
      <c r="S2" s="12"/>
      <c r="T2" s="12"/>
      <c r="U2" s="12"/>
    </row>
    <row r="4" spans="1:21">
      <c r="A4" s="13" t="s">
        <v>1</v>
      </c>
      <c r="B4" s="14"/>
      <c r="D4" s="13" t="s">
        <v>2</v>
      </c>
      <c r="E4" s="14"/>
      <c r="G4" s="13" t="s">
        <v>3</v>
      </c>
      <c r="H4" s="14"/>
      <c r="J4" s="13" t="s">
        <v>4</v>
      </c>
      <c r="K4" s="14"/>
      <c r="M4" s="15" t="s">
        <v>45</v>
      </c>
      <c r="N4" s="16"/>
      <c r="O4" s="16"/>
      <c r="P4" s="16"/>
      <c r="Q4" s="16"/>
      <c r="R4" s="16"/>
      <c r="S4" s="16"/>
      <c r="T4" s="16"/>
      <c r="U4" s="17"/>
    </row>
    <row r="5" spans="1:21" ht="19">
      <c r="A5" s="9">
        <f>COUNTA(A8:A107)</f>
        <v>4</v>
      </c>
      <c r="B5" s="10"/>
      <c r="D5" s="9">
        <f>COUNTIF(M8:M107,"Open")</f>
        <v>4</v>
      </c>
      <c r="E5" s="10"/>
      <c r="G5" s="9">
        <f>COUNTIF(F8:F107,"High")+COUNTIF(F8:F107,"Critical")</f>
        <v>2</v>
      </c>
      <c r="H5" s="10"/>
      <c r="J5" s="9">
        <f>COUNTIF(M8:M107,"Ready for Retest")</f>
        <v>0</v>
      </c>
      <c r="K5" s="10"/>
      <c r="M5" s="18"/>
      <c r="N5" s="19"/>
      <c r="O5" s="19"/>
      <c r="P5" s="19"/>
      <c r="Q5" s="19"/>
      <c r="R5" s="19"/>
      <c r="S5" s="19"/>
      <c r="T5" s="19"/>
      <c r="U5" s="20"/>
    </row>
    <row r="7" spans="1:21" ht="40" customHeight="1">
      <c r="A7" s="5" t="s">
        <v>44</v>
      </c>
      <c r="B7" s="5" t="s">
        <v>5</v>
      </c>
      <c r="C7" s="5" t="s">
        <v>6</v>
      </c>
      <c r="D7" s="5" t="s">
        <v>7</v>
      </c>
      <c r="E7" s="5" t="s">
        <v>8</v>
      </c>
      <c r="F7" s="5" t="s">
        <v>9</v>
      </c>
      <c r="G7" s="5" t="s">
        <v>10</v>
      </c>
      <c r="H7" s="5" t="s">
        <v>11</v>
      </c>
      <c r="I7" s="5" t="s">
        <v>12</v>
      </c>
      <c r="J7" s="5" t="s">
        <v>13</v>
      </c>
      <c r="K7" s="5" t="s">
        <v>14</v>
      </c>
      <c r="L7" s="5" t="s">
        <v>15</v>
      </c>
      <c r="M7" s="5" t="s">
        <v>16</v>
      </c>
      <c r="N7" s="5" t="s">
        <v>17</v>
      </c>
      <c r="O7" s="5" t="s">
        <v>18</v>
      </c>
      <c r="P7" s="5" t="s">
        <v>19</v>
      </c>
      <c r="Q7" s="5" t="s">
        <v>20</v>
      </c>
      <c r="R7" s="5" t="s">
        <v>21</v>
      </c>
      <c r="S7" s="5" t="s">
        <v>22</v>
      </c>
      <c r="T7" s="5" t="s">
        <v>23</v>
      </c>
      <c r="U7" s="5" t="s">
        <v>24</v>
      </c>
    </row>
    <row r="8" spans="1:21" ht="130.5" customHeight="1">
      <c r="A8" s="6" t="s">
        <v>25</v>
      </c>
      <c r="B8" s="6" t="s">
        <v>26</v>
      </c>
      <c r="C8" s="6" t="s">
        <v>27</v>
      </c>
      <c r="D8" s="6" t="s">
        <v>28</v>
      </c>
      <c r="E8" s="7" t="s">
        <v>29</v>
      </c>
      <c r="F8" s="6" t="s">
        <v>30</v>
      </c>
      <c r="G8" s="6" t="s">
        <v>31</v>
      </c>
      <c r="H8" s="7" t="s">
        <v>53</v>
      </c>
      <c r="I8" s="7" t="s">
        <v>32</v>
      </c>
      <c r="J8" s="7" t="s">
        <v>33</v>
      </c>
      <c r="K8" s="7" t="s">
        <v>34</v>
      </c>
      <c r="L8" s="7" t="s">
        <v>35</v>
      </c>
      <c r="M8" s="6" t="s">
        <v>2</v>
      </c>
      <c r="N8" s="6" t="s">
        <v>46</v>
      </c>
      <c r="O8" s="8">
        <v>46232</v>
      </c>
      <c r="P8" s="22" t="s">
        <v>60</v>
      </c>
      <c r="Q8" s="6"/>
      <c r="R8" s="6"/>
      <c r="S8" s="6" t="s">
        <v>36</v>
      </c>
      <c r="T8" s="8"/>
      <c r="U8" s="6" t="s">
        <v>47</v>
      </c>
    </row>
    <row r="9" spans="1:21" ht="93.5" customHeight="1">
      <c r="A9" s="6" t="s">
        <v>37</v>
      </c>
      <c r="B9" s="6" t="s">
        <v>26</v>
      </c>
      <c r="C9" s="6" t="s">
        <v>27</v>
      </c>
      <c r="D9" s="6" t="s">
        <v>38</v>
      </c>
      <c r="E9" s="7" t="s">
        <v>39</v>
      </c>
      <c r="F9" s="6" t="s">
        <v>31</v>
      </c>
      <c r="G9" s="6" t="s">
        <v>31</v>
      </c>
      <c r="H9" s="7" t="s">
        <v>54</v>
      </c>
      <c r="I9" s="7" t="s">
        <v>32</v>
      </c>
      <c r="J9" s="7" t="s">
        <v>40</v>
      </c>
      <c r="K9" s="7" t="s">
        <v>41</v>
      </c>
      <c r="L9" s="7" t="s">
        <v>42</v>
      </c>
      <c r="M9" s="6" t="s">
        <v>2</v>
      </c>
      <c r="N9" s="6" t="s">
        <v>46</v>
      </c>
      <c r="O9" s="8">
        <v>46232</v>
      </c>
      <c r="P9" s="22" t="s">
        <v>60</v>
      </c>
      <c r="Q9" s="6"/>
      <c r="R9" s="6"/>
      <c r="S9" s="6" t="s">
        <v>36</v>
      </c>
      <c r="T9" s="8"/>
      <c r="U9" s="6" t="s">
        <v>62</v>
      </c>
    </row>
    <row r="10" spans="1:21" ht="126" customHeight="1">
      <c r="A10" s="6" t="s">
        <v>48</v>
      </c>
      <c r="B10" s="21" t="s">
        <v>49</v>
      </c>
      <c r="C10" s="6" t="s">
        <v>50</v>
      </c>
      <c r="D10" s="6" t="s">
        <v>51</v>
      </c>
      <c r="E10" s="7" t="s">
        <v>52</v>
      </c>
      <c r="F10" s="6" t="s">
        <v>30</v>
      </c>
      <c r="G10" s="6" t="s">
        <v>31</v>
      </c>
      <c r="H10" s="7" t="s">
        <v>55</v>
      </c>
      <c r="I10" s="7" t="s">
        <v>56</v>
      </c>
      <c r="J10" s="7" t="s">
        <v>57</v>
      </c>
      <c r="K10" s="7" t="s">
        <v>58</v>
      </c>
      <c r="L10" s="7" t="s">
        <v>59</v>
      </c>
      <c r="M10" s="6" t="s">
        <v>2</v>
      </c>
      <c r="N10" s="6" t="s">
        <v>46</v>
      </c>
      <c r="O10" s="8">
        <v>46233</v>
      </c>
      <c r="P10" s="22" t="s">
        <v>61</v>
      </c>
      <c r="Q10" s="6"/>
      <c r="R10" s="6"/>
      <c r="S10" s="6" t="s">
        <v>36</v>
      </c>
      <c r="T10" s="8"/>
      <c r="U10" s="6"/>
    </row>
    <row r="11" spans="1:21" ht="87" customHeight="1">
      <c r="A11" s="6" t="s">
        <v>63</v>
      </c>
      <c r="B11" s="21" t="s">
        <v>64</v>
      </c>
      <c r="C11" s="6" t="s">
        <v>50</v>
      </c>
      <c r="D11" s="6" t="s">
        <v>65</v>
      </c>
      <c r="E11" s="7" t="s">
        <v>66</v>
      </c>
      <c r="F11" s="6" t="s">
        <v>31</v>
      </c>
      <c r="G11" s="6" t="s">
        <v>31</v>
      </c>
      <c r="H11" s="7" t="s">
        <v>55</v>
      </c>
      <c r="I11" s="7" t="s">
        <v>56</v>
      </c>
      <c r="J11" s="7" t="s">
        <v>67</v>
      </c>
      <c r="K11" s="7" t="s">
        <v>68</v>
      </c>
      <c r="L11" s="7" t="s">
        <v>70</v>
      </c>
      <c r="M11" s="6" t="s">
        <v>2</v>
      </c>
      <c r="N11" s="6" t="s">
        <v>46</v>
      </c>
      <c r="O11" s="8">
        <v>46234</v>
      </c>
      <c r="P11" s="22" t="s">
        <v>69</v>
      </c>
      <c r="Q11" s="6"/>
      <c r="R11" s="6"/>
      <c r="S11" s="6" t="s">
        <v>36</v>
      </c>
      <c r="T11" s="8"/>
      <c r="U11" s="6"/>
    </row>
    <row r="12" spans="1:21" ht="42" customHeight="1">
      <c r="A12" s="6"/>
      <c r="B12" s="6"/>
      <c r="C12" s="6"/>
      <c r="D12" s="6"/>
      <c r="E12" s="7"/>
      <c r="F12" s="6"/>
      <c r="G12" s="6"/>
      <c r="H12" s="7"/>
      <c r="I12" s="7"/>
      <c r="J12" s="7"/>
      <c r="K12" s="7"/>
      <c r="L12" s="7"/>
      <c r="M12" s="6"/>
      <c r="N12" s="6"/>
      <c r="O12" s="8"/>
      <c r="P12" s="6"/>
      <c r="Q12" s="6"/>
      <c r="R12" s="6"/>
      <c r="S12" s="6"/>
      <c r="T12" s="8"/>
      <c r="U12" s="6"/>
    </row>
    <row r="13" spans="1:21" ht="42" customHeight="1">
      <c r="A13" s="6"/>
      <c r="B13" s="6"/>
      <c r="C13" s="6"/>
      <c r="D13" s="6"/>
      <c r="E13" s="7"/>
      <c r="F13" s="6"/>
      <c r="G13" s="6"/>
      <c r="H13" s="7"/>
      <c r="I13" s="7"/>
      <c r="J13" s="7"/>
      <c r="K13" s="7"/>
      <c r="L13" s="7"/>
      <c r="M13" s="6"/>
      <c r="N13" s="6"/>
      <c r="O13" s="8"/>
      <c r="P13" s="6"/>
      <c r="Q13" s="6"/>
      <c r="R13" s="6"/>
      <c r="S13" s="6"/>
      <c r="T13" s="8"/>
      <c r="U13" s="6"/>
    </row>
    <row r="14" spans="1:21" ht="42" customHeight="1">
      <c r="A14" s="6"/>
      <c r="B14" s="6"/>
      <c r="C14" s="6"/>
      <c r="D14" s="6"/>
      <c r="E14" s="7"/>
      <c r="F14" s="6"/>
      <c r="G14" s="6"/>
      <c r="H14" s="7"/>
      <c r="I14" s="7"/>
      <c r="J14" s="7"/>
      <c r="K14" s="7"/>
      <c r="L14" s="7"/>
      <c r="M14" s="6"/>
      <c r="N14" s="6"/>
      <c r="O14" s="8"/>
      <c r="P14" s="6"/>
      <c r="Q14" s="6"/>
      <c r="R14" s="6"/>
      <c r="S14" s="6"/>
      <c r="T14" s="8"/>
      <c r="U14" s="6"/>
    </row>
    <row r="15" spans="1:21" ht="42" customHeight="1">
      <c r="A15" s="6"/>
      <c r="B15" s="6"/>
      <c r="C15" s="6"/>
      <c r="D15" s="6"/>
      <c r="E15" s="7"/>
      <c r="F15" s="6"/>
      <c r="G15" s="6"/>
      <c r="H15" s="7"/>
      <c r="I15" s="7"/>
      <c r="J15" s="7"/>
      <c r="K15" s="7"/>
      <c r="L15" s="7"/>
      <c r="M15" s="6"/>
      <c r="N15" s="6"/>
      <c r="O15" s="8"/>
      <c r="P15" s="6"/>
      <c r="Q15" s="6"/>
      <c r="R15" s="6"/>
      <c r="S15" s="6"/>
      <c r="T15" s="8"/>
      <c r="U15" s="6"/>
    </row>
    <row r="16" spans="1:21" ht="42" customHeight="1">
      <c r="A16" s="6"/>
      <c r="B16" s="6"/>
      <c r="C16" s="6"/>
      <c r="D16" s="6"/>
      <c r="E16" s="7"/>
      <c r="F16" s="6"/>
      <c r="G16" s="6"/>
      <c r="H16" s="7"/>
      <c r="I16" s="7"/>
      <c r="J16" s="7"/>
      <c r="K16" s="7"/>
      <c r="L16" s="7"/>
      <c r="M16" s="6"/>
      <c r="N16" s="6"/>
      <c r="O16" s="8"/>
      <c r="P16" s="6"/>
      <c r="Q16" s="6"/>
      <c r="R16" s="6"/>
      <c r="S16" s="6"/>
      <c r="T16" s="8"/>
      <c r="U16" s="6"/>
    </row>
    <row r="17" spans="1:21" ht="42" customHeight="1">
      <c r="A17" s="1"/>
      <c r="B17" s="1"/>
      <c r="C17" s="1"/>
      <c r="D17" s="1"/>
      <c r="E17" s="2"/>
      <c r="F17" s="1"/>
      <c r="G17" s="1"/>
      <c r="H17" s="2"/>
      <c r="I17" s="2"/>
      <c r="J17" s="2"/>
      <c r="K17" s="2"/>
      <c r="L17" s="2"/>
      <c r="M17" s="1"/>
      <c r="N17" s="1"/>
      <c r="O17" s="3"/>
      <c r="P17" s="1"/>
      <c r="Q17" s="1"/>
      <c r="R17" s="1"/>
      <c r="S17" s="1"/>
      <c r="T17" s="3"/>
      <c r="U17" s="1"/>
    </row>
    <row r="18" spans="1:21">
      <c r="O18" s="4"/>
      <c r="T18" s="4"/>
    </row>
    <row r="19" spans="1:21">
      <c r="O19" s="4"/>
      <c r="T19" s="4"/>
    </row>
    <row r="20" spans="1:21">
      <c r="O20" s="4"/>
      <c r="T20" s="4"/>
    </row>
    <row r="21" spans="1:21">
      <c r="O21" s="4"/>
      <c r="T21" s="4"/>
    </row>
    <row r="22" spans="1:21">
      <c r="O22" s="4"/>
      <c r="T22" s="4"/>
    </row>
    <row r="23" spans="1:21">
      <c r="O23" s="4"/>
      <c r="T23" s="4"/>
    </row>
    <row r="24" spans="1:21">
      <c r="O24" s="4"/>
      <c r="T24" s="4"/>
    </row>
    <row r="25" spans="1:21">
      <c r="O25" s="4"/>
      <c r="T25" s="4"/>
    </row>
    <row r="26" spans="1:21">
      <c r="O26" s="4"/>
      <c r="T26" s="4"/>
    </row>
    <row r="27" spans="1:21">
      <c r="O27" s="4"/>
      <c r="T27" s="4"/>
    </row>
    <row r="28" spans="1:21">
      <c r="O28" s="4"/>
      <c r="T28" s="4"/>
    </row>
    <row r="29" spans="1:21">
      <c r="O29" s="4"/>
      <c r="T29" s="4"/>
    </row>
    <row r="30" spans="1:21">
      <c r="O30" s="4"/>
      <c r="T30" s="4"/>
    </row>
    <row r="31" spans="1:21">
      <c r="O31" s="4"/>
      <c r="T31" s="4"/>
    </row>
    <row r="32" spans="1:21">
      <c r="O32" s="4"/>
      <c r="T32" s="4"/>
    </row>
    <row r="33" spans="15:20">
      <c r="O33" s="4"/>
      <c r="T33" s="4"/>
    </row>
    <row r="34" spans="15:20">
      <c r="O34" s="4"/>
      <c r="T34" s="4"/>
    </row>
    <row r="35" spans="15:20">
      <c r="O35" s="4"/>
      <c r="T35" s="4"/>
    </row>
    <row r="36" spans="15:20">
      <c r="O36" s="4"/>
      <c r="T36" s="4"/>
    </row>
    <row r="37" spans="15:20">
      <c r="O37" s="4"/>
      <c r="T37" s="4"/>
    </row>
    <row r="38" spans="15:20">
      <c r="O38" s="4"/>
      <c r="T38" s="4"/>
    </row>
    <row r="39" spans="15:20">
      <c r="O39" s="4"/>
      <c r="T39" s="4"/>
    </row>
    <row r="40" spans="15:20">
      <c r="O40" s="4"/>
      <c r="T40" s="4"/>
    </row>
    <row r="41" spans="15:20">
      <c r="O41" s="4"/>
      <c r="T41" s="4"/>
    </row>
    <row r="42" spans="15:20">
      <c r="O42" s="4"/>
      <c r="T42" s="4"/>
    </row>
    <row r="43" spans="15:20">
      <c r="O43" s="4"/>
      <c r="T43" s="4"/>
    </row>
    <row r="44" spans="15:20">
      <c r="O44" s="4"/>
      <c r="T44" s="4"/>
    </row>
    <row r="45" spans="15:20">
      <c r="O45" s="4"/>
      <c r="T45" s="4"/>
    </row>
    <row r="46" spans="15:20">
      <c r="O46" s="4"/>
      <c r="T46" s="4"/>
    </row>
    <row r="47" spans="15:20">
      <c r="O47" s="4"/>
      <c r="T47" s="4"/>
    </row>
    <row r="48" spans="15:20">
      <c r="O48" s="4"/>
      <c r="T48" s="4"/>
    </row>
    <row r="49" spans="15:20">
      <c r="O49" s="4"/>
      <c r="T49" s="4"/>
    </row>
    <row r="50" spans="15:20">
      <c r="O50" s="4"/>
      <c r="T50" s="4"/>
    </row>
    <row r="51" spans="15:20">
      <c r="O51" s="4"/>
      <c r="T51" s="4"/>
    </row>
    <row r="52" spans="15:20">
      <c r="O52" s="4"/>
      <c r="T52" s="4"/>
    </row>
    <row r="53" spans="15:20">
      <c r="O53" s="4"/>
      <c r="T53" s="4"/>
    </row>
    <row r="54" spans="15:20">
      <c r="O54" s="4"/>
      <c r="T54" s="4"/>
    </row>
    <row r="55" spans="15:20">
      <c r="O55" s="4"/>
      <c r="T55" s="4"/>
    </row>
    <row r="56" spans="15:20">
      <c r="O56" s="4"/>
      <c r="T56" s="4"/>
    </row>
    <row r="57" spans="15:20">
      <c r="O57" s="4"/>
      <c r="T57" s="4"/>
    </row>
    <row r="58" spans="15:20">
      <c r="O58" s="4"/>
      <c r="T58" s="4"/>
    </row>
    <row r="59" spans="15:20">
      <c r="O59" s="4"/>
      <c r="T59" s="4"/>
    </row>
    <row r="60" spans="15:20">
      <c r="O60" s="4"/>
      <c r="T60" s="4"/>
    </row>
    <row r="61" spans="15:20">
      <c r="O61" s="4"/>
      <c r="T61" s="4"/>
    </row>
    <row r="62" spans="15:20">
      <c r="O62" s="4"/>
      <c r="T62" s="4"/>
    </row>
    <row r="63" spans="15:20">
      <c r="O63" s="4"/>
      <c r="T63" s="4"/>
    </row>
    <row r="64" spans="15:20">
      <c r="O64" s="4"/>
      <c r="T64" s="4"/>
    </row>
    <row r="65" spans="15:20">
      <c r="O65" s="4"/>
      <c r="T65" s="4"/>
    </row>
    <row r="66" spans="15:20">
      <c r="O66" s="4"/>
      <c r="T66" s="4"/>
    </row>
    <row r="67" spans="15:20">
      <c r="O67" s="4"/>
      <c r="T67" s="4"/>
    </row>
    <row r="68" spans="15:20">
      <c r="O68" s="4"/>
      <c r="T68" s="4"/>
    </row>
    <row r="69" spans="15:20">
      <c r="O69" s="4"/>
      <c r="T69" s="4"/>
    </row>
    <row r="70" spans="15:20">
      <c r="O70" s="4"/>
      <c r="T70" s="4"/>
    </row>
    <row r="71" spans="15:20">
      <c r="O71" s="4"/>
      <c r="T71" s="4"/>
    </row>
    <row r="72" spans="15:20">
      <c r="O72" s="4"/>
      <c r="T72" s="4"/>
    </row>
    <row r="73" spans="15:20">
      <c r="O73" s="4"/>
      <c r="T73" s="4"/>
    </row>
    <row r="74" spans="15:20">
      <c r="O74" s="4"/>
      <c r="T74" s="4"/>
    </row>
    <row r="75" spans="15:20">
      <c r="O75" s="4"/>
      <c r="T75" s="4"/>
    </row>
    <row r="76" spans="15:20">
      <c r="O76" s="4"/>
      <c r="T76" s="4"/>
    </row>
    <row r="77" spans="15:20">
      <c r="O77" s="4"/>
      <c r="T77" s="4"/>
    </row>
    <row r="78" spans="15:20">
      <c r="O78" s="4"/>
      <c r="T78" s="4"/>
    </row>
    <row r="79" spans="15:20">
      <c r="O79" s="4"/>
      <c r="T79" s="4"/>
    </row>
    <row r="80" spans="15:20">
      <c r="O80" s="4"/>
      <c r="T80" s="4"/>
    </row>
    <row r="81" spans="15:20">
      <c r="O81" s="4"/>
      <c r="T81" s="4"/>
    </row>
    <row r="82" spans="15:20">
      <c r="O82" s="4"/>
      <c r="T82" s="4"/>
    </row>
    <row r="83" spans="15:20">
      <c r="O83" s="4"/>
      <c r="T83" s="4"/>
    </row>
    <row r="84" spans="15:20">
      <c r="O84" s="4"/>
      <c r="T84" s="4"/>
    </row>
    <row r="85" spans="15:20">
      <c r="O85" s="4"/>
      <c r="T85" s="4"/>
    </row>
    <row r="86" spans="15:20">
      <c r="O86" s="4"/>
      <c r="T86" s="4"/>
    </row>
    <row r="87" spans="15:20">
      <c r="O87" s="4"/>
      <c r="T87" s="4"/>
    </row>
    <row r="88" spans="15:20">
      <c r="O88" s="4"/>
      <c r="T88" s="4"/>
    </row>
    <row r="89" spans="15:20">
      <c r="O89" s="4"/>
      <c r="T89" s="4"/>
    </row>
    <row r="90" spans="15:20">
      <c r="O90" s="4"/>
      <c r="T90" s="4"/>
    </row>
    <row r="91" spans="15:20">
      <c r="O91" s="4"/>
      <c r="T91" s="4"/>
    </row>
    <row r="92" spans="15:20">
      <c r="O92" s="4"/>
      <c r="T92" s="4"/>
    </row>
    <row r="93" spans="15:20">
      <c r="O93" s="4"/>
      <c r="T93" s="4"/>
    </row>
    <row r="94" spans="15:20">
      <c r="O94" s="4"/>
      <c r="T94" s="4"/>
    </row>
    <row r="95" spans="15:20">
      <c r="O95" s="4"/>
      <c r="T95" s="4"/>
    </row>
    <row r="96" spans="15:20">
      <c r="O96" s="4"/>
      <c r="T96" s="4"/>
    </row>
    <row r="97" spans="15:20">
      <c r="O97" s="4"/>
      <c r="T97" s="4"/>
    </row>
    <row r="98" spans="15:20">
      <c r="O98" s="4"/>
      <c r="T98" s="4"/>
    </row>
    <row r="99" spans="15:20">
      <c r="O99" s="4"/>
      <c r="T99" s="4"/>
    </row>
    <row r="100" spans="15:20">
      <c r="O100" s="4"/>
      <c r="T100" s="4"/>
    </row>
    <row r="101" spans="15:20">
      <c r="O101" s="4"/>
      <c r="T101" s="4"/>
    </row>
    <row r="102" spans="15:20">
      <c r="O102" s="4"/>
      <c r="T102" s="4"/>
    </row>
    <row r="103" spans="15:20">
      <c r="O103" s="4"/>
      <c r="T103" s="4"/>
    </row>
    <row r="104" spans="15:20">
      <c r="O104" s="4"/>
      <c r="T104" s="4"/>
    </row>
    <row r="105" spans="15:20">
      <c r="O105" s="4"/>
      <c r="T105" s="4"/>
    </row>
    <row r="106" spans="15:20">
      <c r="O106" s="4"/>
      <c r="T106" s="4"/>
    </row>
    <row r="107" spans="15:20">
      <c r="O107" s="4"/>
      <c r="T107" s="4"/>
    </row>
  </sheetData>
  <mergeCells count="11">
    <mergeCell ref="J5:K5"/>
    <mergeCell ref="A1:U1"/>
    <mergeCell ref="A2:U2"/>
    <mergeCell ref="A4:B4"/>
    <mergeCell ref="D4:E4"/>
    <mergeCell ref="G4:H4"/>
    <mergeCell ref="J4:K4"/>
    <mergeCell ref="M4:U5"/>
    <mergeCell ref="A5:B5"/>
    <mergeCell ref="D5:E5"/>
    <mergeCell ref="G5:H5"/>
  </mergeCells>
  <conditionalFormatting sqref="F8:G107">
    <cfRule type="containsText" dxfId="8" priority="1" operator="containsText" text="Critical"/>
    <cfRule type="containsText" dxfId="7" priority="2" operator="containsText" text="High"/>
  </conditionalFormatting>
  <conditionalFormatting sqref="M8:M107">
    <cfRule type="containsText" dxfId="6" priority="3" operator="containsText" text="Open"/>
    <cfRule type="containsText" dxfId="5" priority="4" operator="containsText" text="In Progress"/>
    <cfRule type="containsText" dxfId="4" priority="5" operator="containsText" text="Ready for Retest"/>
    <cfRule type="containsText" dxfId="3" priority="6" operator="containsText" text="Closed"/>
  </conditionalFormatting>
  <conditionalFormatting sqref="S8:S107">
    <cfRule type="containsText" dxfId="2" priority="7" operator="containsText" text="Pass"/>
    <cfRule type="containsText" dxfId="1" priority="8" operator="containsText" text="Fail"/>
    <cfRule type="containsText" dxfId="0" priority="9" operator="containsText" text="Not Retested"/>
  </conditionalFormatting>
  <dataValidations count="8">
    <dataValidation type="list" sqref="S8:S107" xr:uid="{285366EE-0383-4ECF-AF60-BFA7FE11B678}">
      <formula1>"Not Retested,Pass,Fail,Blocked"</formula1>
    </dataValidation>
    <dataValidation type="list" sqref="M8:M107" xr:uid="{BBB38952-246E-4ABF-A378-DC9F999E8E6B}">
      <formula1>"Open,In Progress,Resolved,Ready for Retest,Closed,Rejected,Deferred,Duplicate"</formula1>
    </dataValidation>
    <dataValidation type="list" sqref="F8:G107" xr:uid="{9975D9DE-3FF0-49C3-8240-A0EDA31122CB}">
      <formula1>"Critical,High,Medium,Low"</formula1>
    </dataValidation>
    <dataValidation type="list" sqref="D17:D107" xr:uid="{20609973-F954-420B-A272-D9DA30F7C1CD}">
      <formula1>"Functional,Validation,Session / Navigation,Error Handling,Security / Information Disclosure,Usability,Data Integrity,Performance"</formula1>
    </dataValidation>
    <dataValidation type="list" sqref="C17:C107" xr:uid="{009EC8DC-924F-45F0-8799-8E0DEEBB0305}">
      <formula1>"Signup,Login,Logout,Account Management"</formula1>
    </dataValidation>
    <dataValidation type="list" sqref="C8:C16" xr:uid="{2E7BF27D-A7D0-4C6A-9B5A-85311896C1AB}">
      <formula1>"Signup,Login,Logout,Account Management,Cart,Product"</formula1>
    </dataValidation>
    <dataValidation type="list" sqref="D8:D10 D12:D16" xr:uid="{7E090F43-EDD5-4B08-B8EA-B310B818ACBC}">
      <formula1>"Functional,Validation,Session / Navigation,Error Handling,Security / Information Disclosure,Usability,Data Integrity,Performance, Functional / Calculation Display"</formula1>
    </dataValidation>
    <dataValidation type="list" sqref="D11" xr:uid="{3ADA1B1F-1171-4E65-9279-D6B3FE66D1BA}">
      <formula1>"Functional,Validation,Session / Navigation,Error Handling,Security / Information Disclosure,Usability,Data Integrity,Performance, Functional / Calculation Display, Functional / User Interface"</formula1>
    </dataValidation>
  </dataValidations>
  <hyperlinks>
    <hyperlink ref="P8" r:id="rId1" xr:uid="{EF999C47-803A-403B-956C-B7516530B5D0}"/>
    <hyperlink ref="P9" r:id="rId2" xr:uid="{17F25047-CB4F-4BAB-8DA4-BDC57C5E51D5}"/>
    <hyperlink ref="P10" r:id="rId3" xr:uid="{5587106D-E68A-4850-8D5E-C61D8AB13A2F}"/>
    <hyperlink ref="P11" r:id="rId4" xr:uid="{9938056D-DD42-4172-A4D0-D75E65A74177}"/>
  </hyperlinks>
  <pageMargins left="0.7" right="0.7" top="0.75" bottom="0.75" header="0.3" footer="0.3"/>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Bug Report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Kevin McMahon</dc:creator>
  <cp:lastModifiedBy>Kevin McMahon</cp:lastModifiedBy>
  <dcterms:created xsi:type="dcterms:W3CDTF">2026-07-30T01:57:48Z</dcterms:created>
  <dcterms:modified xsi:type="dcterms:W3CDTF">2026-07-31T04:56:13Z</dcterms:modified>
</cp:coreProperties>
</file>