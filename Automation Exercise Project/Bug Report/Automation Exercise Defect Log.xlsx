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21530af52894d2e" /></Relationships>
</file>

<file path=xl/workbook.xml><?xml version="1.0" encoding="utf-8"?>
<x:workbook xmlns:x="http://schemas.openxmlformats.org/spreadsheetml/2006/main">
  <x:sheets>
    <x:sheet xmlns:r="http://schemas.openxmlformats.org/officeDocument/2006/relationships" name="Bug Report" sheetId="1" r:id="Re5edd8f5203e4110"/>
    <x:sheet xmlns:r="http://schemas.openxmlformats.org/officeDocument/2006/relationships" name="Lists" sheetId="2" r:id="R1ab61d77b5cc4d1d"/>
  </x:sheets>
</x:workbook>
</file>

<file path=xl/sharedStrings.xml><?xml version="1.0" encoding="utf-8"?>
<x:sst xmlns:x="http://schemas.openxmlformats.org/spreadsheetml/2006/main">
  <x:si>
    <x:t xml:space="preserve">Automation Exercise Defect Reports</x:t>
  </x:si>
  <x:si>
    <x:t xml:space="preserve">Project: Automation Exercise Ecommerce Website QA Testing | Record one independently reproducible defect per row</x:t>
  </x:si>
  <x:si>
    <x:t xml:space="preserve">Total Defects</x:t>
  </x:si>
  <x:si>
    <x:t xml:space="preserve">Open</x:t>
  </x:si>
  <x:si>
    <x:t xml:space="preserve">High/Critical</x:t>
  </x:si>
  <x:si>
    <x:t xml:space="preserve">Ready for Retest</x:t>
  </x:si>
  <x:si>
    <x:t xml:space="preserve">Portfolio safety: redact usernames, session IDs, tokens, cookies, and other sensitive values before publishing evidence.</x:t>
  </x:si>
  <x:si>
    <x:t xml:space="preserve">Defect ID</x:t>
  </x:si>
  <x:si>
    <x:t xml:space="preserve">Related Test Case</x:t>
  </x:si>
  <x:si>
    <x:t xml:space="preserve">Module</x:t>
  </x:si>
  <x:si>
    <x:t xml:space="preserve">Defect Type</x:t>
  </x:si>
  <x:si>
    <x:t xml:space="preserve">Summary / Title</x:t>
  </x:si>
  <x:si>
    <x:t xml:space="preserve">Severity</x:t>
  </x:si>
  <x:si>
    <x:t xml:space="preserve">Priority</x:t>
  </x:si>
  <x:si>
    <x:t xml:space="preserve">Environment</x:t>
  </x:si>
  <x:si>
    <x:t xml:space="preserve">Preconditions</x:t>
  </x:si>
  <x:si>
    <x:t xml:space="preserve">Steps to Reproduce</x:t>
  </x:si>
  <x:si>
    <x:t xml:space="preserve">Expected Result</x:t>
  </x:si>
  <x:si>
    <x:t xml:space="preserve">Actual Result</x:t>
  </x:si>
  <x:si>
    <x:t xml:space="preserve">Status</x:t>
  </x:si>
  <x:si>
    <x:t xml:space="preserve">Reported By</x:t>
  </x:si>
  <x:si>
    <x:t xml:space="preserve">Date Reported</x:t>
  </x:si>
  <x:si>
    <x:t xml:space="preserve">Evidence / Screenshot</x:t>
  </x:si>
  <x:si>
    <x:t xml:space="preserve">Assigned To</x:t>
  </x:si>
  <x:si>
    <x:t xml:space="preserve">Resolution / Developer Notes</x:t>
  </x:si>
  <x:si>
    <x:t xml:space="preserve">Retest Status</x:t>
  </x:si>
  <x:si>
    <x:t xml:space="preserve">Retest Date</x:t>
  </x:si>
  <x:si>
    <x:t xml:space="preserve">QA Notes</x:t>
  </x:si>
  <x:si>
    <x:t xml:space="preserve">AE-BUG-001</x:t>
  </x:si>
  <x:si>
    <x:t xml:space="preserve">AE-LOGOUT-001</x:t>
  </x:si>
  <x:si>
    <x:t xml:space="preserve">Logout</x:t>
  </x:si>
  <x:si>
    <x:t xml:space="preserve">Session / Navigation</x:t>
  </x:si>
  <x:si>
    <x:t xml:space="preserve">Authenticated user information remains visible after logout when navigating back</x:t>
  </x:si>
  <x:si>
    <x:t xml:space="preserve">Medium</x:t>
  </x:si>
  <x:si>
    <x:t xml:space="preserve">High</x:t>
  </x:si>
  <x:si>
    <x:t xml:space="preserve">Web application
Brave v193.129/Win11
URL: https://automationexercise.com</x:t>
  </x:si>
  <x:si>
    <x:t xml:space="preserve">1. Active registered test account exists.
2. User begins logged out.</x:t>
  </x:si>
  <x:si>
    <x:t xml:space="preserve">1. Open Automation Exercise.
2. Click Signup / Login.
3. Enter valid registered credentials.
4. Click Login.
5. Confirm “Logged in as [username]” is displayed.
6. Click Logout.
7. Click the browser Back button.
8. Observe the page.
9. Refresh the page and attempt to open an authenticated feature to verify whether access persists.</x:t>
  </x:si>
  <x:si>
    <x:t xml:space="preserve">After logout, browser navigation should not display authenticated user information or provide access to authenticated functionality.</x:t>
  </x:si>
  <x:si>
    <x:t xml:space="preserve">After logout, clicking the browser Back button displayed the previous page with “Logged in as Kevin Tester” and the Logout option. Further verification is required to determine whether the page was cached or the authenticated session remained active.</x:t>
  </x:si>
  <x:si>
    <x:t xml:space="preserve">KM</x:t>
  </x:si>
  <x:si>
    <x:t xml:space="preserve">..\Screenshots\AE-LOGOUT-001.png</x:t>
  </x:si>
  <x:si>
    <x:t xml:space="preserve">Not Retested</x:t>
  </x:si>
  <x:si>
    <x:t xml:space="preserve">Potential cached page behavior. Confirm session state by refreshing and accessing a protected feature before final severity assessment.</x:t>
  </x:si>
  <x:si>
    <x:t xml:space="preserve">AE-BUG-002</x:t>
  </x:si>
  <x:si>
    <x:t xml:space="preserve">Error Handling / Information Disclosure</x:t>
  </x:si>
  <x:si>
    <x:t xml:space="preserve">Repeated logout request causes an unhandled KeyError and exposes internal debugging information</x:t>
  </x:si>
  <x:si>
    <x:t xml:space="preserve">Web application
Brave v193.129/Win11
Django 3.2.8 shown in response
Python 3.7.17 shown in response
URL: https://automationexercise.com/logout</x:t>
  </x:si>
  <x:si>
    <x:t xml:space="preserve">1. Open Automation Exercise.
2. Click Signup / Login.
3. Enter valid registered credentials.
4. Click Login.
5. Click Logout.
6. Click the browser Back button.
7. Click Logout again.</x:t>
  </x:si>
  <x:si>
    <x:t xml:space="preserve">The application should safely handle the repeated logout request and redirect the unauthenticated user to Signup / Login without displaying an error or internal information.</x:t>
  </x:si>
  <x:si>
    <x:t xml:space="preserve">The application displayed “KeyError at /logout” because the user_id session key was missing. A Django debug page exposed framework and Python versions, server paths, traceback details, cookies, and session-related information.</x:t>
  </x:si>
  <x:si>
    <x:t xml:space="preserve">Meta data, session tokens and cookies blurred in screenshot</x:t>
  </x:si>
  <x:si>
    <x:t xml:space="preserve">AE-BUG-003</x:t>
  </x:si>
  <x:si>
    <x:t xml:space="preserve">AE-CART-001</x:t>
  </x:si>
  <x:si>
    <x:t xml:space="preserve">Cart</x:t>
  </x:si>
  <x:si>
    <x:t xml:space="preserve">Functional / Calculation Display</x:t>
  </x:si>
  <x:si>
    <x:t xml:space="preserve">Cart does not display the overall total after multiple products are added</x:t>
  </x:si>
  <x:si>
    <x:t xml:space="preserve">Web application
Brave v193.129/Win11</x:t>
  </x:si>
  <x:si>
    <x:t xml:space="preserve">1. Website is available
2. User is logged out
3. At least two products are available</x:t>
  </x:si>
  <x:si>
    <x:t xml:space="preserve">1. Open https://automationexercise.com while logged out.
2. Click the Products button.
3. Add the first product to the cart.
4. Click Continue Shopping.
5. Add the second product to the cart.
6. Click View Cart.
7. Verify that both products appear in the cart.
8. Review the prices, quantities, line totals, and overall cart total.</x:t>
  </x:si>
  <x:si>
    <x:t xml:space="preserve">Both products should appear with the correct unit prices, quantities, and line totals. The cart should also display an accurate overall total equal to the sum of all product line totals.</x:t>
  </x:si>
  <x:si>
    <x:t xml:space="preserve">Both products appear with the correct unit prices, quantities, and line totals, but the overall cart total is not displayed.</x:t>
  </x:si>
  <x:si>
    <x:t xml:space="preserve">..\Screenshots\AE-CART-001.png</x:t>
  </x:si>
  <x:si>
    <x:t xml:space="preserve">AE-BUG-004</x:t>
  </x:si>
  <x:si>
    <x:t xml:space="preserve">AE-CART-002</x:t>
  </x:si>
  <x:si>
    <x:t xml:space="preserve">Functional / User Interface</x:t>
  </x:si>
  <x:si>
    <x:t xml:space="preserve">The quantity field on the product-detail page does not respond when the user attempts to edit it. As a result, the user cannot select the desired quantity before adding the product to the cart.</x:t>
  </x:si>
  <x:si>
    <x:t xml:space="preserve">1. Open https://automationexercise.com while logged out.
2. Click View Product for any available product.
3. Add product to Cart
4. View Cart
5. Click inside the quantity field.
6. Attempt to change the quantity from 1 to 4.</x:t>
  </x:si>
  <x:si>
    <x:t xml:space="preserve">The quantity field should accept a valid quantity of 4. After the product is added, the cart should display the selected product with a quantity of 4 and a line total equal to the unit price multiplied by 4</x:t>
  </x:si>
  <x:si>
    <x:t xml:space="preserve">The populated cart page is displayed, but the quantity field cannot be edited. Clicking the field produces no response, preventing the user from selecting a quantity of 4.</x:t>
  </x:si>
  <x:si>
    <x:t xml:space="preserve">..\Screenshots\AE-CART-002.png</x:t>
  </x:si>
  <x:si>
    <x:t xml:space="preserve">BUG-API-001</x:t>
  </x:si>
  <x:si>
    <x:t xml:space="preserve">API-PRODUCT-002</x:t>
  </x:si>
  <x:si>
    <x:t xml:space="preserve">Products API</x:t>
  </x:si>
  <x:si>
    <x:t xml:space="preserve">API / HTTP Status Handling</x:t>
  </x:si>
  <x:si>
    <x:t xml:space="preserve">Products List API returns HTTP 200 instead of 405 for unsupported POST request</x:t>
  </x:si>
  <x:si>
    <x:t xml:space="preserve">Postman Desktop
Environment: Automation Exercise QA
Endpoint: https://automationexercise.com/api/productsList</x:t>
  </x:si>
  <x:si>
    <x:t xml:space="preserve">1. Automation Exercise QA environment is selected.
2. base_url is configured.
3. API service is available.</x:t>
  </x:si>
  <x:si>
    <x:t xml:space="preserve">1. Open API-PRODUCT-002 in Postman.
2. Confirm the request method is POST.
3. Confirm the URL is {{base_url}}/productsList.
4. Leave parameters and body empty.
5. Click Send.
6. Compare the transport-level HTTP status and JSON responseCode with the expected result.</x:t>
  </x:si>
  <x:si>
    <x:t xml:space="preserve">The API should return HTTP 405 Method Not Allowed. The JSON body should contain responseCode 405 and the message “This request method is not supported.”</x:t>
  </x:si>
  <x:si>
    <x:t xml:space="preserve">The server returned HTTP 200 OK. The JSON body contained responseCode 405 and the expected message “This request method is not supported.” The business response is correct, but the transport-level HTTP status is incorrect.</x:t>
  </x:si>
  <x:si>
    <x:t xml:space="preserve">..\API Testing\Execution Results\Screenshots\API-PRODUCT-002.png</x:t>
  </x:si>
  <x:si>
    <x:t xml:space="preserve">BUG-API-002</x:t>
  </x:si>
  <x:si>
    <x:t xml:space="preserve">API-SEARCH-002</x:t>
  </x:si>
  <x:si>
    <x:t xml:space="preserve">Search API</x:t>
  </x:si>
  <x:si>
    <x:t xml:space="preserve">API / Input Validation</x:t>
  </x:si>
  <x:si>
    <x:t xml:space="preserve">Search Product API returns all products when required search_product parameter is omitted</x:t>
  </x:si>
  <x:si>
    <x:t xml:space="preserve">Postman Desktop
Environment: Automation Exercise QA
Endpoint: https://automationexercise.com/api/searchProduct</x:t>
  </x:si>
  <x:si>
    <x:t xml:space="preserve">1. Automation Exercise QA environment is selected.
2. base_url is configured.
3. API service is available.
4. search_product is intentionally omitted.</x:t>
  </x:si>
  <x:si>
    <x:t xml:space="preserve">1. Open API-SEARCH-002 in Postman.
2. Confirm the request method is POST.
3. Confirm the URL is {{base_url}}/searchProduct.
4. Confirm search_product is absent from the request body.
5. Click Send.
6. Compare the HTTP status and JSON response with the documented validation response.</x:t>
  </x:si>
  <x:si>
    <x:t xml:space="preserve">The API should reject the request with responseCode 400 and the message “Bad request, search_product parameter is missing in POST request.” No products should be returned.</x:t>
  </x:si>
  <x:si>
    <x:t xml:space="preserve">The server returned HTTP 200 OK. The JSON body contained responseCode 200 and a populated products array containing the full products list, despite the required search_product parameter being absent.</x:t>
  </x:si>
  <x:si>
    <x:t xml:space="preserve">..\API Testing\Execution Results\Screenshots\API-SEARCH-002.png</x:t>
  </x:si>
  <x:si>
    <x:t xml:space="preserve">Modules</x:t>
  </x:si>
  <x:si>
    <x:t xml:space="preserve">Defect Types</x:t>
  </x:si>
  <x:si>
    <x:t xml:space="preserve">Severity / Priority</x:t>
  </x:si>
  <x:si>
    <x:t xml:space="preserve">Signup</x:t>
  </x:si>
  <x:si>
    <x:t xml:space="preserve">Functional</x:t>
  </x:si>
  <x:si>
    <x:t xml:space="preserve">Critical</x:t>
  </x:si>
  <x:si>
    <x:t xml:space="preserve">Login</x:t>
  </x:si>
  <x:si>
    <x:t xml:space="preserve">Validation</x:t>
  </x:si>
  <x:si>
    <x:t xml:space="preserve">In Progress</x:t>
  </x:si>
  <x:si>
    <x:t xml:space="preserve">Pass</x:t>
  </x:si>
  <x:si>
    <x:t xml:space="preserve">Resolved</x:t>
  </x:si>
  <x:si>
    <x:t xml:space="preserve">Fail</x:t>
  </x:si>
  <x:si>
    <x:t xml:space="preserve">Error Handling</x:t>
  </x:si>
  <x:si>
    <x:t xml:space="preserve">Low</x:t>
  </x:si>
  <x:si>
    <x:t xml:space="preserve">Blocked</x:t>
  </x:si>
  <x:si>
    <x:t xml:space="preserve">Account Management</x:t>
  </x:si>
  <x:si>
    <x:t xml:space="preserve">Security / Information Disclosure</x:t>
  </x:si>
  <x:si>
    <x:t xml:space="preserve">Closed</x:t>
  </x:si>
  <x:si>
    <x:t xml:space="preserve">Usability</x:t>
  </x:si>
  <x:si>
    <x:t xml:space="preserve">Rejected</x:t>
  </x:si>
  <x:si>
    <x:t xml:space="preserve">Brands API</x:t>
  </x:si>
  <x:si>
    <x:t xml:space="preserve">Data Integrity</x:t>
  </x:si>
  <x:si>
    <x:t xml:space="preserve">Deferred</x:t>
  </x:si>
  <x:si>
    <x:t xml:space="preserve">Performance</x:t>
  </x:si>
  <x:si>
    <x:t xml:space="preserve">Duplicate</x:t>
  </x:si>
  <x:si>
    <x:t xml:space="preserve">Authentication API</x:t>
  </x:si>
  <x:si>
    <x:t xml:space="preserve">Account API</x:t>
  </x:si>
</x:sst>
</file>

<file path=xl/styles.xml><?xml version="1.0" encoding="utf-8"?>
<x:styleSheet xmlns:x="http://schemas.openxmlformats.org/spreadsheetml/2006/main">
  <x:numFmts count="1">
    <x:numFmt numFmtId="164" formatCode="yyyy\-mm\-dd"/>
  </x:numFmts>
  <x:fonts count="8">
    <x:font>
      <x:sz val="11"/>
      <x:name val="Carlito"/>
    </x:font>
    <x:font>
      <x:b/>
      <x:sz val="18"/>
      <x:color rgb="FFFFFFFF"/>
      <x:name val="Carlito"/>
    </x:font>
    <x:font>
      <x:i/>
      <x:sz val="10"/>
      <x:color rgb="FF1F2937"/>
      <x:name val="Carlito"/>
    </x:font>
    <x:font>
      <x:b/>
      <x:sz val="10"/>
      <x:color rgb="FF17365D"/>
      <x:name val="Carlito"/>
    </x:font>
    <x:font>
      <x:b/>
      <x:sz val="15"/>
      <x:color rgb="FF17365D"/>
      <x:name val="Carlito"/>
    </x:font>
    <x:font>
      <x:i/>
      <x:sz val="10"/>
      <x:color rgb="FF7F6000"/>
      <x:name val="Carlito"/>
    </x:font>
    <x:font>
      <x:b/>
      <x:sz val="10"/>
      <x:color rgb="FFFFFFFF"/>
      <x:name val="Carlito"/>
    </x:font>
    <x:font>
      <x:sz val="10"/>
      <x:color rgb="FF1F2937"/>
      <x:name val="Carlito"/>
    </x:font>
  </x:fonts>
  <x:fills count="7">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F4F6F8"/>
      </x:patternFill>
    </x:fill>
    <x:fill>
      <x:patternFill patternType="solid">
        <x:fgColor rgb="FFFFF2CC"/>
      </x:patternFill>
    </x:fill>
    <x:fill>
      <x:patternFill patternType="solid">
        <x:fgColor rgb="FF2F75B5"/>
      </x:patternFill>
    </x:fill>
  </x:fills>
  <x:borders count="20">
    <x:border/>
    <x:border>
      <x:left style="thin">
        <x:color rgb="FFC9D2DC"/>
      </x:left>
      <x:top style="thin">
        <x:color rgb="FFC9D2DC"/>
      </x:top>
      <x:bottom style="thin">
        <x:color rgb="FFC9D2DC"/>
      </x:bottom>
    </x:border>
    <x:border>
      <x:right style="thin">
        <x:color rgb="FFC9D2DC"/>
      </x:right>
      <x:top style="thin">
        <x:color rgb="FFC9D2DC"/>
      </x:top>
      <x:bottom style="thin">
        <x:color rgb="FFC9D2DC"/>
      </x:bottom>
    </x:border>
    <x:border>
      <x:left style="thin">
        <x:color rgb="FFC9D2DC"/>
      </x:left>
      <x:top style="thin">
        <x:color rgb="FFC9D2DC"/>
      </x:top>
    </x:border>
    <x:border>
      <x:top style="thin">
        <x:color rgb="FFC9D2DC"/>
      </x:top>
    </x:border>
    <x:border>
      <x:right style="thin">
        <x:color rgb="FFC9D2DC"/>
      </x:right>
      <x:top style="thin">
        <x:color rgb="FFC9D2DC"/>
      </x:top>
    </x:border>
    <x:border>
      <x:left style="thin">
        <x:color rgb="FFC9D2DC"/>
      </x:left>
      <x:bottom style="thin">
        <x:color rgb="FFC9D2DC"/>
      </x:bottom>
    </x:border>
    <x:border>
      <x:bottom style="thin">
        <x:color rgb="FFC9D2DC"/>
      </x:bottom>
    </x:border>
    <x:border>
      <x:right style="thin">
        <x:color rgb="FFC9D2DC"/>
      </x:right>
      <x:bottom style="thin">
        <x:color rgb="FFC9D2DC"/>
      </x:bottom>
    </x:border>
    <x:border>
      <x:left style="thin">
        <x:color rgb="FFC9D2DC"/>
      </x:left>
    </x:border>
    <x:border>
      <x:right style="thin">
        <x:color rgb="FFC9D2DC"/>
      </x:right>
    </x:border>
    <x:border>
      <x:left style="thin">
        <x:color indexed="64"/>
      </x:left>
      <x:right style="thin">
        <x:color indexed="64"/>
      </x:right>
      <x:top style="thin">
        <x:color indexed="64"/>
      </x:top>
      <x:bottom style="thin">
        <x:color indexed="64"/>
      </x:bottom>
    </x:border>
    <x:border>
      <x:right style="thin">
        <x:color indexed="64"/>
      </x:right>
      <x:bottom style="thin">
        <x:color indexed="64"/>
      </x:bottom>
    </x:border>
    <x:border>
      <x:left style="thin">
        <x:color indexed="64"/>
      </x:left>
      <x:right style="thin">
        <x:color indexed="64"/>
      </x:right>
      <x:bottom style="thin">
        <x:color indexed="64"/>
      </x:bottom>
    </x:border>
    <x:border>
      <x:left style="thin">
        <x:color indexed="64"/>
      </x:left>
      <x:bottom style="thin">
        <x:color indexed="64"/>
      </x:bottom>
    </x:border>
    <x:border>
      <x:right style="thin">
        <x:color indexed="64"/>
      </x:right>
      <x:top style="thin">
        <x:color indexed="64"/>
      </x:top>
      <x:bottom style="thin">
        <x:color indexed="64"/>
      </x:bottom>
    </x:border>
    <x:border>
      <x:left style="thin">
        <x:color indexed="64"/>
      </x:left>
      <x:top style="thin">
        <x:color indexed="64"/>
      </x:top>
      <x:bottom style="thin">
        <x:color indexed="64"/>
      </x:bottom>
    </x:border>
    <x:border>
      <x:right style="thin">
        <x:color indexed="64"/>
      </x:right>
      <x:top style="thin">
        <x:color indexed="64"/>
      </x:top>
    </x:border>
    <x:border>
      <x:left style="thin">
        <x:color indexed="64"/>
      </x:left>
      <x:right style="thin">
        <x:color indexed="64"/>
      </x:right>
      <x:top style="thin">
        <x:color indexed="64"/>
      </x:top>
    </x:border>
    <x:border>
      <x:left style="thin">
        <x:color indexed="64"/>
      </x:left>
      <x:top style="thin">
        <x:color indexed="64"/>
      </x:top>
    </x:border>
  </x:borders>
  <x:cellStyleXfs count="1">
    <x:xf numFmtId="0" fontId="0" fillId="0" borderId="0"/>
  </x:cellStyleXfs>
  <x:cellXfs count="36">
    <x:xf numFmtId="0" fontId="0" fillId="0" borderId="0" xfId="0"/>
    <x:xf numFmtId="0" fontId="7" fillId="0" borderId="0" xfId="0" applyFont="1"/>
    <x:xf numFmtId="164" fontId="0" fillId="0" borderId="0" xfId="0" applyNumberFormat="1"/>
    <x:xf numFmtId="0" fontId="7" fillId="0" borderId="9" xfId="0" applyFont="1" applyBorder="1"/>
    <x:xf numFmtId="0" fontId="7" fillId="0" borderId="10" xfId="0" applyFont="1" applyBorder="1"/>
    <x:xf numFmtId="0" fontId="7" fillId="0" borderId="6" xfId="0" applyFont="1" applyBorder="1"/>
    <x:xf numFmtId="0" fontId="7" fillId="0" borderId="7" xfId="0" applyFont="1" applyBorder="1"/>
    <x:xf numFmtId="0" fontId="7" fillId="0" borderId="8" xfId="0" applyFont="1" applyBorder="1"/>
    <x:xf numFmtId="0" fontId="6" fillId="6" borderId="3" xfId="0" applyFont="1" applyFill="1" applyBorder="1" applyAlignment="1">
      <x:alignment horizontal="center"/>
    </x:xf>
    <x:xf numFmtId="0" fontId="6" fillId="6" borderId="4" xfId="0" applyFont="1" applyFill="1" applyBorder="1" applyAlignment="1">
      <x:alignment horizontal="center"/>
    </x:xf>
    <x:xf numFmtId="0" fontId="6" fillId="6" borderId="5" xfId="0" applyFont="1" applyFill="1" applyBorder="1" applyAlignment="1">
      <x:alignment horizontal="center"/>
    </x:xf>
    <x:xf numFmtId="0" fontId="1" fillId="2" borderId="0" xfId="0" applyFont="1" applyFill="1" applyAlignment="1">
      <x:alignment horizontal="center" vertical="center"/>
    </x:xf>
    <x:xf numFmtId="0" fontId="2" fillId="3" borderId="0" xfId="0" applyFont="1" applyFill="1" applyAlignment="1">
      <x:alignment horizontal="center" vertical="center"/>
    </x:xf>
    <x:xf numFmtId="0" fontId="3" fillId="4" borderId="1" xfId="0" applyFont="1" applyFill="1" applyBorder="1" applyAlignment="1">
      <x:alignment horizontal="center" vertical="center"/>
    </x:xf>
    <x:xf numFmtId="0" fontId="3" fillId="4" borderId="2" xfId="0" applyFont="1" applyFill="1" applyBorder="1" applyAlignment="1">
      <x:alignment horizontal="center" vertical="center"/>
    </x:xf>
    <x:xf numFmtId="0" fontId="4" fillId="4" borderId="1" xfId="0" applyFont="1" applyFill="1" applyBorder="1" applyAlignment="1">
      <x:alignment horizontal="center" vertical="center"/>
    </x:xf>
    <x:xf numFmtId="0" fontId="4" fillId="4" borderId="2" xfId="0" applyFont="1" applyFill="1" applyBorder="1" applyAlignment="1">
      <x:alignment horizontal="center" vertical="center"/>
    </x:xf>
    <x:xf numFmtId="0" fontId="5" fillId="5" borderId="3" xfId="0" applyFont="1" applyFill="1" applyBorder="1" applyAlignment="1">
      <x:alignment vertical="center" wrapText="1"/>
    </x:xf>
    <x:xf numFmtId="0" fontId="5" fillId="5" borderId="4" xfId="0" applyFont="1" applyFill="1" applyBorder="1" applyAlignment="1">
      <x:alignment vertical="center" wrapText="1"/>
    </x:xf>
    <x:xf numFmtId="0" fontId="5" fillId="5" borderId="5" xfId="0" applyFont="1" applyFill="1" applyBorder="1" applyAlignment="1">
      <x:alignment vertical="center" wrapText="1"/>
    </x:xf>
    <x:xf numFmtId="0" fontId="5" fillId="5" borderId="6" xfId="0" applyFont="1" applyFill="1" applyBorder="1" applyAlignment="1">
      <x:alignment vertical="center" wrapText="1"/>
    </x:xf>
    <x:xf numFmtId="0" fontId="5" fillId="5" borderId="7" xfId="0" applyFont="1" applyFill="1" applyBorder="1" applyAlignment="1">
      <x:alignment vertical="center" wrapText="1"/>
    </x:xf>
    <x:xf numFmtId="0" fontId="5" fillId="5" borderId="8" xfId="0" applyFont="1" applyFill="1" applyBorder="1" applyAlignment="1">
      <x:alignment vertical="center" wrapText="1"/>
    </x:xf>
    <x:xf numFmtId="0" fontId="6" fillId="6" borderId="12" xfId="0" applyFont="1" applyFill="1" applyBorder="1" applyAlignment="1">
      <x:alignment horizontal="center" vertical="center" wrapText="1"/>
    </x:xf>
    <x:xf numFmtId="0" fontId="6" fillId="6" borderId="13" xfId="0" applyFont="1" applyFill="1" applyBorder="1" applyAlignment="1">
      <x:alignment horizontal="center" vertical="center" wrapText="1"/>
    </x:xf>
    <x:xf numFmtId="0" fontId="6" fillId="6" borderId="14" xfId="0" applyFont="1" applyFill="1" applyBorder="1" applyAlignment="1">
      <x:alignment horizontal="center" vertical="center" wrapText="1"/>
    </x:xf>
    <x:xf numFmtId="0" fontId="7" fillId="0" borderId="15" xfId="0" applyFont="1" applyBorder="1" applyAlignment="1">
      <x:alignment horizontal="center" vertical="top" wrapText="1"/>
    </x:xf>
    <x:xf numFmtId="0" fontId="7" fillId="0" borderId="11" xfId="0" applyFont="1" applyBorder="1" applyAlignment="1">
      <x:alignment horizontal="center" vertical="top" wrapText="1"/>
    </x:xf>
    <x:xf numFmtId="0" fontId="7" fillId="0" borderId="11" xfId="0" applyFont="1" applyBorder="1" applyAlignment="1">
      <x:alignment vertical="top" wrapText="1"/>
    </x:xf>
    <x:xf numFmtId="164" fontId="7" fillId="0" borderId="11" xfId="0" applyNumberFormat="1" applyFont="1" applyBorder="1" applyAlignment="1">
      <x:alignment horizontal="center" vertical="top" wrapText="1"/>
    </x:xf>
    <x:xf numFmtId="0" fontId="7" fillId="0" borderId="16" xfId="0" applyFont="1" applyBorder="1" applyAlignment="1">
      <x:alignment horizontal="center" vertical="top" wrapText="1"/>
    </x:xf>
    <x:xf numFmtId="0" fontId="7" fillId="0" borderId="17" xfId="0" applyFont="1" applyBorder="1" applyAlignment="1">
      <x:alignment horizontal="center" vertical="top" wrapText="1"/>
    </x:xf>
    <x:xf numFmtId="0" fontId="7" fillId="0" borderId="18" xfId="0" applyFont="1" applyBorder="1" applyAlignment="1">
      <x:alignment horizontal="center" vertical="top" wrapText="1"/>
    </x:xf>
    <x:xf numFmtId="0" fontId="7" fillId="0" borderId="18" xfId="0" applyFont="1" applyBorder="1" applyAlignment="1">
      <x:alignment vertical="top" wrapText="1"/>
    </x:xf>
    <x:xf numFmtId="164" fontId="7" fillId="0" borderId="18" xfId="0" applyNumberFormat="1" applyFont="1" applyBorder="1" applyAlignment="1">
      <x:alignment horizontal="center" vertical="top" wrapText="1"/>
    </x:xf>
    <x:xf numFmtId="0" fontId="7" fillId="0" borderId="19" xfId="0" applyFont="1" applyBorder="1" applyAlignment="1">
      <x:alignment horizontal="center" vertical="top" wrapText="1"/>
    </x:xf>
  </x:cellXfs>
  <x:cellStyles count="1">
    <x:cellStyle name="Normal" xfId="0"/>
  </x:cellStyles>
  <x:dxfs count="34">
    <x:dxf>
      <x:border>
        <x:left style="thin">
          <x:color indexed="64"/>
        </x:left>
        <x:right style="thin">
          <x:color indexed="64"/>
        </x:right>
        <x:top/>
        <x:bottom/>
      </x:border>
    </x:dxf>
    <x:dxf>
      <x:border>
        <x:left style="thin">
          <x:color indexed="64"/>
        </x:left>
        <x:right style="thin">
          <x:color indexed="64"/>
        </x:right>
        <x:top/>
        <x:bottom/>
      </x:border>
    </x:dxf>
    <x:dxf>
      <x:border>
        <x:left style="thin">
          <x:color indexed="64"/>
        </x:left>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x:right style="thin">
          <x:color indexed="64"/>
        </x:right>
        <x:top style="thin">
          <x:color indexed="64"/>
        </x:top>
        <x:bottom style="thin">
          <x:color indexed="64"/>
        </x:bottom>
      </x:border>
    </x:dxf>
    <x:dxf>
      <x:border>
        <x:bottom style="thin">
          <x:color indexed="64"/>
        </x:bottom>
      </x:border>
    </x:dxf>
    <x:dxf>
      <x:border>
        <x:left style="thin">
          <x:color indexed="64"/>
        </x:left>
        <x:right style="thin">
          <x:color indexed="64"/>
        </x:right>
        <x:top style="thin">
          <x:color indexed="64"/>
        </x:top>
        <x:bottom style="thin">
          <x:color indexed="64"/>
        </x:bottom>
      </x:border>
    </x:dxf>
    <x:dxf>
      <x:font>
        <x:color rgb="FF595959"/>
      </x:font>
      <x:fill>
        <x:patternFill>
          <x:bgColor rgb="FFE7E6E6"/>
        </x:patternFill>
      </x:fill>
    </x:dxf>
    <x:dxf>
      <x:font>
        <x:b/>
        <x:color rgb="FF9C0006"/>
      </x:font>
      <x:fill>
        <x:patternFill>
          <x:bgColor rgb="FFFCE4D6"/>
        </x:patternFill>
      </x:fill>
    </x:dxf>
    <x:dxf>
      <x:font>
        <x:b/>
        <x:color rgb="FF375623"/>
      </x:font>
      <x:fill>
        <x:patternFill>
          <x:bgColor rgb="FFE2F0D9"/>
        </x:patternFill>
      </x:fill>
    </x:dxf>
    <x:dxf>
      <x:font>
        <x:b/>
        <x:color rgb="FF375623"/>
      </x:font>
      <x:fill>
        <x:patternFill>
          <x:bgColor rgb="FFE2F0D9"/>
        </x:patternFill>
      </x:fill>
    </x:dxf>
    <x:dxf>
      <x:font>
        <x:b/>
        <x:color rgb="FF7030A0"/>
      </x:font>
      <x:fill>
        <x:patternFill>
          <x:bgColor rgb="FFE4DFEC"/>
        </x:patternFill>
      </x:fill>
    </x:dxf>
    <x:dxf>
      <x:font>
        <x:b/>
        <x:color rgb="FF7F6000"/>
      </x:font>
      <x:fill>
        <x:patternFill>
          <x:bgColor rgb="FFFFF2CC"/>
        </x:patternFill>
      </x:fill>
    </x:dxf>
    <x:dxf>
      <x:font>
        <x:b/>
        <x:color rgb="FF9C0006"/>
      </x:font>
      <x:fill>
        <x:patternFill>
          <x:bgColor rgb="FFFCE4D6"/>
        </x:patternFill>
      </x:fill>
    </x:dxf>
    <x:dxf>
      <x:font>
        <x:b/>
        <x:color rgb="FF7F6000"/>
      </x:font>
      <x:fill>
        <x:patternFill>
          <x:bgColor rgb="FFFFF2CC"/>
        </x:patternFill>
      </x:fill>
    </x:dxf>
    <x:dxf>
      <x:font>
        <x:b/>
        <x:color rgb="FF9C0006"/>
      </x:font>
      <x:fill>
        <x:patternFill>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2617c1506114867" /><Relationship Type="http://schemas.openxmlformats.org/officeDocument/2006/relationships/theme" Target="/xl/theme/theme1.xml" Id="Re06d55b1d4ee43bb" /><Relationship Type="http://schemas.openxmlformats.org/officeDocument/2006/relationships/sharedStrings" Target="/xl/sharedStrings.xml" Id="R19b270904a4e435d" /><Relationship Type="http://schemas.openxmlformats.org/officeDocument/2006/relationships/worksheet" Target="/xl/worksheets/sheet1.xml" Id="Re5edd8f5203e4110" /><Relationship Type="http://schemas.openxmlformats.org/officeDocument/2006/relationships/worksheet" Target="/xl/worksheets/sheet2.xml" Id="R1ab61d77b5cc4d1d" /></Relationships>
</file>

<file path=xl/tables/table1.xml><?xml version="1.0" encoding="utf-8"?>
<x:table xmlns:x="http://schemas.openxmlformats.org/spreadsheetml/2006/main" id="1" name="DefectLog" displayName="DefectLog" ref="A7:U13">
  <x:autoFilter ref="A7:U13"/>
  <x:tableColumns count="21">
    <x:tableColumn id="1" name="Defect ID"/>
    <x:tableColumn id="2" name="Related Test Case"/>
    <x:tableColumn id="3" name="Module"/>
    <x:tableColumn id="4" name="Defect Type"/>
    <x:tableColumn id="5" name="Summary / Title"/>
    <x:tableColumn id="6" name="Severity"/>
    <x:tableColumn id="7" name="Priority"/>
    <x:tableColumn id="8" name="Environment"/>
    <x:tableColumn id="9" name="Preconditions"/>
    <x:tableColumn id="10" name="Steps to Reproduce"/>
    <x:tableColumn id="11" name="Expected Result"/>
    <x:tableColumn id="12" name="Actual Result"/>
    <x:tableColumn id="13" name="Status"/>
    <x:tableColumn id="14" name="Reported By"/>
    <x:tableColumn id="15" name="Date Reported"/>
    <x:tableColumn id="16" name="Evidence / Screenshot"/>
    <x:tableColumn id="17" name="Assigned To"/>
    <x:tableColumn id="18" name="Resolution / Developer Notes"/>
    <x:tableColumn id="19" name="Retest Status"/>
    <x:tableColumn id="20" name="Retest Date"/>
    <x:tableColumn id="21" name="QA 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8bb1f0be27c4482" /></Relationships>
</file>

<file path=xl/worksheets/sheet1.xml><?xml version="1.0" encoding="utf-8"?>
<x:worksheet xmlns:x="http://schemas.openxmlformats.org/spreadsheetml/2006/main">
  <x:sheetViews>
    <x:sheetView showGridLines="0" workbookViewId="0"/>
  </x:sheetViews>
  <x:sheetFormatPr defaultRowHeight="14"/>
  <x:cols>
    <x:col min="1" max="1" width="16" customWidth="1"/>
    <x:col min="2" max="3" width="18" customWidth="1"/>
    <x:col min="4" max="4" width="28" customWidth="1"/>
    <x:col min="5" max="5" width="42" customWidth="1"/>
    <x:col min="6" max="7" width="12" customWidth="1"/>
    <x:col min="8" max="8" width="32" customWidth="1"/>
    <x:col min="9" max="9" width="30" customWidth="1"/>
    <x:col min="10" max="10" width="48" customWidth="1"/>
    <x:col min="11" max="11" width="38" customWidth="1"/>
    <x:col min="12" max="12" width="42" customWidth="1"/>
    <x:col min="13" max="13" width="20" customWidth="1"/>
    <x:col min="14" max="15" width="16" customWidth="1"/>
    <x:col min="16" max="16" width="34" customWidth="1"/>
    <x:col min="17" max="17" width="18" customWidth="1"/>
    <x:col min="18" max="18" width="34" customWidth="1"/>
    <x:col min="19" max="19" width="18" customWidth="1"/>
    <x:col min="20" max="20" width="15" customWidth="1"/>
    <x:col min="21" max="21" width="38" customWidth="1"/>
  </x:cols>
  <x:sheetData>
    <x:row r="1" ht="34" customHeight="1">
      <x:c r="A1" s="11" t="s">
        <x:v>0</x:v>
      </x:c>
      <x:c r="B1" s="11"/>
      <x:c r="C1" s="11"/>
      <x:c r="D1" s="11"/>
      <x:c r="E1" s="11"/>
      <x:c r="F1" s="11"/>
      <x:c r="G1" s="11"/>
      <x:c r="H1" s="11"/>
      <x:c r="I1" s="11"/>
      <x:c r="J1" s="11"/>
      <x:c r="K1" s="11"/>
      <x:c r="L1" s="11"/>
      <x:c r="M1" s="11"/>
      <x:c r="N1" s="11"/>
      <x:c r="O1" s="11"/>
      <x:c r="P1" s="11"/>
      <x:c r="Q1" s="11"/>
      <x:c r="R1" s="11"/>
      <x:c r="S1" s="11"/>
      <x:c r="T1" s="11"/>
      <x:c r="U1" s="11"/>
    </x:row>
    <x:row r="2" ht="23" customHeight="1">
      <x:c r="A2" s="12" t="s">
        <x:v>1</x:v>
      </x:c>
      <x:c r="B2" s="12"/>
      <x:c r="C2" s="12"/>
      <x:c r="D2" s="12"/>
      <x:c r="E2" s="12"/>
      <x:c r="F2" s="12"/>
      <x:c r="G2" s="12"/>
      <x:c r="H2" s="12"/>
      <x:c r="I2" s="12"/>
      <x:c r="J2" s="12"/>
      <x:c r="K2" s="12"/>
      <x:c r="L2" s="12"/>
      <x:c r="M2" s="12"/>
      <x:c r="N2" s="12"/>
      <x:c r="O2" s="12"/>
      <x:c r="P2" s="12"/>
      <x:c r="Q2" s="12"/>
      <x:c r="R2" s="12"/>
      <x:c r="S2" s="12"/>
      <x:c r="T2" s="12"/>
      <x:c r="U2" s="12"/>
    </x:row>
    <x:row r="4">
      <x:c r="A4" s="13" t="s">
        <x:v>2</x:v>
      </x:c>
      <x:c r="B4" s="14"/>
      <x:c r="D4" s="13" t="s">
        <x:v>3</x:v>
      </x:c>
      <x:c r="E4" s="14"/>
      <x:c r="G4" s="13" t="s">
        <x:v>4</x:v>
      </x:c>
      <x:c r="H4" s="14"/>
      <x:c r="J4" s="13" t="s">
        <x:v>5</x:v>
      </x:c>
      <x:c r="K4" s="14"/>
      <x:c r="M4" s="17" t="s">
        <x:v>6</x:v>
      </x:c>
      <x:c r="N4" s="18"/>
      <x:c r="O4" s="18"/>
      <x:c r="P4" s="18"/>
      <x:c r="Q4" s="18"/>
      <x:c r="R4" s="18"/>
      <x:c r="S4" s="18"/>
      <x:c r="T4" s="18"/>
      <x:c r="U4" s="19"/>
    </x:row>
    <x:row r="5" ht="19">
      <x:c r="A5" s="15" t="n">
        <x:f>COUNTA(A8:A107)</x:f>
        <x:v>6</x:v>
      </x:c>
      <x:c r="B5" s="16"/>
      <x:c r="D5" s="15" t="n">
        <x:f>COUNTIF(M8:M107,"Open")</x:f>
        <x:v>4</x:v>
      </x:c>
      <x:c r="E5" s="16"/>
      <x:c r="G5" s="15" t="n">
        <x:f>COUNTIF(F8:F107,"High")+COUNTIF(F8:F107,"Critical")</x:f>
        <x:v>3</x:v>
      </x:c>
      <x:c r="H5" s="16"/>
      <x:c r="J5" s="15" t="n">
        <x:f>COUNTIF(M8:M107,"Ready for Retest")</x:f>
        <x:v>0</x:v>
      </x:c>
      <x:c r="K5" s="16"/>
      <x:c r="M5" s="20"/>
      <x:c r="N5" s="21"/>
      <x:c r="O5" s="21"/>
      <x:c r="P5" s="21"/>
      <x:c r="Q5" s="21"/>
      <x:c r="R5" s="21"/>
      <x:c r="S5" s="21"/>
      <x:c r="T5" s="21"/>
      <x:c r="U5" s="22"/>
    </x:row>
    <x:row r="7" ht="40" customHeight="1">
      <x:c r="A7" s="23" t="s">
        <x:v>7</x:v>
      </x:c>
      <x:c r="B7" s="24" t="s">
        <x:v>8</x:v>
      </x:c>
      <x:c r="C7" s="24" t="s">
        <x:v>9</x:v>
      </x:c>
      <x:c r="D7" s="24" t="s">
        <x:v>10</x:v>
      </x:c>
      <x:c r="E7" s="24" t="s">
        <x:v>11</x:v>
      </x:c>
      <x:c r="F7" s="24" t="s">
        <x:v>12</x:v>
      </x:c>
      <x:c r="G7" s="24" t="s">
        <x:v>13</x:v>
      </x:c>
      <x:c r="H7" s="24" t="s">
        <x:v>14</x:v>
      </x:c>
      <x:c r="I7" s="24" t="s">
        <x:v>15</x:v>
      </x:c>
      <x:c r="J7" s="24" t="s">
        <x:v>16</x:v>
      </x:c>
      <x:c r="K7" s="24" t="s">
        <x:v>17</x:v>
      </x:c>
      <x:c r="L7" s="24" t="s">
        <x:v>18</x:v>
      </x:c>
      <x:c r="M7" s="24" t="s">
        <x:v>19</x:v>
      </x:c>
      <x:c r="N7" s="24" t="s">
        <x:v>20</x:v>
      </x:c>
      <x:c r="O7" s="24" t="s">
        <x:v>21</x:v>
      </x:c>
      <x:c r="P7" s="24" t="s">
        <x:v>22</x:v>
      </x:c>
      <x:c r="Q7" s="24" t="s">
        <x:v>23</x:v>
      </x:c>
      <x:c r="R7" s="24" t="s">
        <x:v>24</x:v>
      </x:c>
      <x:c r="S7" s="24" t="s">
        <x:v>25</x:v>
      </x:c>
      <x:c r="T7" s="24" t="s">
        <x:v>26</x:v>
      </x:c>
      <x:c r="U7" s="25" t="s">
        <x:v>27</x:v>
      </x:c>
    </x:row>
    <x:row r="8" ht="190" customHeight="1">
      <x:c r="A8" s="26" t="s">
        <x:v>28</x:v>
      </x:c>
      <x:c r="B8" s="27" t="s">
        <x:v>29</x:v>
      </x:c>
      <x:c r="C8" s="27" t="s">
        <x:v>30</x:v>
      </x:c>
      <x:c r="D8" s="27" t="s">
        <x:v>31</x:v>
      </x:c>
      <x:c r="E8" s="28" t="s">
        <x:v>32</x:v>
      </x:c>
      <x:c r="F8" s="27" t="s">
        <x:v>33</x:v>
      </x:c>
      <x:c r="G8" s="27" t="s">
        <x:v>34</x:v>
      </x:c>
      <x:c r="H8" s="28" t="s">
        <x:v>35</x:v>
      </x:c>
      <x:c r="I8" s="28" t="s">
        <x:v>36</x:v>
      </x:c>
      <x:c r="J8" s="28" t="s">
        <x:v>37</x:v>
      </x:c>
      <x:c r="K8" s="28" t="s">
        <x:v>38</x:v>
      </x:c>
      <x:c r="L8" s="28" t="s">
        <x:v>39</x:v>
      </x:c>
      <x:c r="M8" s="27" t="s">
        <x:v>3</x:v>
      </x:c>
      <x:c r="N8" s="27" t="s">
        <x:v>40</x:v>
      </x:c>
      <x:c r="O8" s="29">
        <x:v>46232</x:v>
      </x:c>
      <x:c r="P8" s="27" t="s">
        <x:v>41</x:v>
      </x:c>
      <x:c r="Q8" s="27"/>
      <x:c r="R8" s="27"/>
      <x:c r="S8" s="27" t="s">
        <x:v>42</x:v>
      </x:c>
      <x:c r="T8" s="29"/>
      <x:c r="U8" s="30" t="s">
        <x:v>43</x:v>
      </x:c>
    </x:row>
    <x:row r="9" ht="190" customHeight="1">
      <x:c r="A9" s="26" t="s">
        <x:v>44</x:v>
      </x:c>
      <x:c r="B9" s="27" t="s">
        <x:v>29</x:v>
      </x:c>
      <x:c r="C9" s="27" t="s">
        <x:v>30</x:v>
      </x:c>
      <x:c r="D9" s="27" t="s">
        <x:v>45</x:v>
      </x:c>
      <x:c r="E9" s="28" t="s">
        <x:v>46</x:v>
      </x:c>
      <x:c r="F9" s="27" t="s">
        <x:v>34</x:v>
      </x:c>
      <x:c r="G9" s="27" t="s">
        <x:v>34</x:v>
      </x:c>
      <x:c r="H9" s="28" t="s">
        <x:v>47</x:v>
      </x:c>
      <x:c r="I9" s="28" t="s">
        <x:v>36</x:v>
      </x:c>
      <x:c r="J9" s="28" t="s">
        <x:v>48</x:v>
      </x:c>
      <x:c r="K9" s="28" t="s">
        <x:v>49</x:v>
      </x:c>
      <x:c r="L9" s="28" t="s">
        <x:v>50</x:v>
      </x:c>
      <x:c r="M9" s="27" t="s">
        <x:v>3</x:v>
      </x:c>
      <x:c r="N9" s="27" t="s">
        <x:v>40</x:v>
      </x:c>
      <x:c r="O9" s="29">
        <x:v>46232</x:v>
      </x:c>
      <x:c r="P9" s="27" t="s">
        <x:v>41</x:v>
      </x:c>
      <x:c r="Q9" s="27"/>
      <x:c r="R9" s="27"/>
      <x:c r="S9" s="27" t="s">
        <x:v>42</x:v>
      </x:c>
      <x:c r="T9" s="29"/>
      <x:c r="U9" s="30" t="s">
        <x:v>51</x:v>
      </x:c>
    </x:row>
    <x:row r="10" ht="190" customHeight="1">
      <x:c r="A10" s="26" t="s">
        <x:v>52</x:v>
      </x:c>
      <x:c r="B10" s="27" t="s">
        <x:v>53</x:v>
      </x:c>
      <x:c r="C10" s="27" t="s">
        <x:v>54</x:v>
      </x:c>
      <x:c r="D10" s="27" t="s">
        <x:v>55</x:v>
      </x:c>
      <x:c r="E10" s="28" t="s">
        <x:v>56</x:v>
      </x:c>
      <x:c r="F10" s="27" t="s">
        <x:v>33</x:v>
      </x:c>
      <x:c r="G10" s="27" t="s">
        <x:v>34</x:v>
      </x:c>
      <x:c r="H10" s="28" t="s">
        <x:v>57</x:v>
      </x:c>
      <x:c r="I10" s="28" t="s">
        <x:v>58</x:v>
      </x:c>
      <x:c r="J10" s="28" t="s">
        <x:v>59</x:v>
      </x:c>
      <x:c r="K10" s="28" t="s">
        <x:v>60</x:v>
      </x:c>
      <x:c r="L10" s="28" t="s">
        <x:v>61</x:v>
      </x:c>
      <x:c r="M10" s="27" t="s">
        <x:v>3</x:v>
      </x:c>
      <x:c r="N10" s="27" t="s">
        <x:v>40</x:v>
      </x:c>
      <x:c r="O10" s="29">
        <x:v>46233</x:v>
      </x:c>
      <x:c r="P10" s="27" t="s">
        <x:v>62</x:v>
      </x:c>
      <x:c r="Q10" s="27"/>
      <x:c r="R10" s="27"/>
      <x:c r="S10" s="27" t="s">
        <x:v>42</x:v>
      </x:c>
      <x:c r="T10" s="29"/>
      <x:c r="U10" s="30"/>
    </x:row>
    <x:row r="11" ht="190" customHeight="1">
      <x:c r="A11" s="26" t="s">
        <x:v>63</x:v>
      </x:c>
      <x:c r="B11" s="27" t="s">
        <x:v>64</x:v>
      </x:c>
      <x:c r="C11" s="27" t="s">
        <x:v>54</x:v>
      </x:c>
      <x:c r="D11" s="27" t="s">
        <x:v>65</x:v>
      </x:c>
      <x:c r="E11" s="28" t="s">
        <x:v>66</x:v>
      </x:c>
      <x:c r="F11" s="27" t="s">
        <x:v>34</x:v>
      </x:c>
      <x:c r="G11" s="27" t="s">
        <x:v>34</x:v>
      </x:c>
      <x:c r="H11" s="28" t="s">
        <x:v>57</x:v>
      </x:c>
      <x:c r="I11" s="28" t="s">
        <x:v>58</x:v>
      </x:c>
      <x:c r="J11" s="28" t="s">
        <x:v>67</x:v>
      </x:c>
      <x:c r="K11" s="28" t="s">
        <x:v>68</x:v>
      </x:c>
      <x:c r="L11" s="28" t="s">
        <x:v>69</x:v>
      </x:c>
      <x:c r="M11" s="27" t="s">
        <x:v>3</x:v>
      </x:c>
      <x:c r="N11" s="27" t="s">
        <x:v>40</x:v>
      </x:c>
      <x:c r="O11" s="29">
        <x:v>46234</x:v>
      </x:c>
      <x:c r="P11" s="27" t="s">
        <x:v>70</x:v>
      </x:c>
      <x:c r="Q11" s="27"/>
      <x:c r="R11" s="27"/>
      <x:c r="S11" s="27" t="s">
        <x:v>42</x:v>
      </x:c>
      <x:c r="T11" s="29"/>
      <x:c r="U11" s="30"/>
    </x:row>
    <x:row r="12" ht="190" customHeight="1">
      <x:c r="A12" s="26" t="s">
        <x:v>71</x:v>
      </x:c>
      <x:c r="B12" s="27" t="s">
        <x:v>72</x:v>
      </x:c>
      <x:c r="C12" s="27" t="s">
        <x:v>73</x:v>
      </x:c>
      <x:c r="D12" s="27" t="s">
        <x:v>74</x:v>
      </x:c>
      <x:c r="E12" s="28" t="s">
        <x:v>75</x:v>
      </x:c>
      <x:c r="F12" s="27" t="s">
        <x:v>33</x:v>
      </x:c>
      <x:c r="G12" s="27" t="s">
        <x:v>33</x:v>
      </x:c>
      <x:c r="H12" s="28" t="s">
        <x:v>76</x:v>
      </x:c>
      <x:c r="I12" s="28" t="s">
        <x:v>77</x:v>
      </x:c>
      <x:c r="J12" s="28" t="s">
        <x:v>78</x:v>
      </x:c>
      <x:c r="K12" s="28" t="s">
        <x:v>79</x:v>
      </x:c>
      <x:c r="L12" s="28" t="s">
        <x:v>80</x:v>
      </x:c>
      <x:c r="M12" s="27" t="str">
        <x:v>Rejected</x:v>
      </x:c>
      <x:c r="N12" s="27" t="s">
        <x:v>40</x:v>
      </x:c>
      <x:c r="O12" s="29">
        <x:v>46235.666666666664</x:v>
      </x:c>
      <x:c r="P12" s="27" t="s">
        <x:v>81</x:v>
      </x:c>
      <x:c r="Q12" s="27"/>
      <x:c r="R12" s="27" t="str">
        <x:v>Rejected after contract review. The official page documents JSON responseCode 405, while the live transport status is HTTP 200. The observed response matches the application contract.</x:v>
      </x:c>
      <x:c r="S12" s="27" t="s">
        <x:v>42</x:v>
      </x:c>
      <x:c r="T12" s="29"/>
      <x:c r="U12" s="30" t="str">
        <x:v>Not an application defect. The original report treated the documented JSON responseCode as the transport HTTP status.</x:v>
      </x:c>
    </x:row>
    <x:row r="13" ht="190" customHeight="1">
      <x:c r="A13" s="31" t="s">
        <x:v>82</x:v>
      </x:c>
      <x:c r="B13" s="32" t="s">
        <x:v>83</x:v>
      </x:c>
      <x:c r="C13" s="32" t="s">
        <x:v>84</x:v>
      </x:c>
      <x:c r="D13" s="32" t="s">
        <x:v>85</x:v>
      </x:c>
      <x:c r="E13" s="33" t="s">
        <x:v>86</x:v>
      </x:c>
      <x:c r="F13" s="32" t="s">
        <x:v>34</x:v>
      </x:c>
      <x:c r="G13" s="32" t="s">
        <x:v>34</x:v>
      </x:c>
      <x:c r="H13" s="33" t="s">
        <x:v>87</x:v>
      </x:c>
      <x:c r="I13" s="33" t="s">
        <x:v>88</x:v>
      </x:c>
      <x:c r="J13" s="33" t="s">
        <x:v>89</x:v>
      </x:c>
      <x:c r="K13" s="33" t="s">
        <x:v>90</x:v>
      </x:c>
      <x:c r="L13" s="33" t="s">
        <x:v>91</x:v>
      </x:c>
      <x:c r="M13" s="32" t="str">
        <x:v>Rejected</x:v>
      </x:c>
      <x:c r="N13" s="32" t="s">
        <x:v>40</x:v>
      </x:c>
      <x:c r="O13" s="34">
        <x:v>46235.666666666664</x:v>
      </x:c>
      <x:c r="P13" s="32" t="s">
        <x:v>92</x:v>
      </x:c>
      <x:c r="Q13" s="32"/>
      <x:c r="R13" s="32" t="str">
        <x:v>Rejected after request review. The earlier Postman request retained search data. A clean automated request without search_product returned JSON responseCode 400 and the documented validation message.</x:v>
      </x:c>
      <x:c r="S13" s="32" t="s">
        <x:v>42</x:v>
      </x:c>
      <x:c r="T13" s="34"/>
      <x:c r="U13" s="35" t="str">
        <x:v>Request configuration issue, not a confirmed application defect. Final clean suite rerun remains pending.</x:v>
      </x:c>
    </x:row>
    <x:row r="14">
      <x:c r="O14" s="2"/>
      <x:c r="T14" s="2"/>
    </x:row>
    <x:row r="15">
      <x:c r="O15" s="2"/>
      <x:c r="T15" s="2"/>
    </x:row>
    <x:row r="16">
      <x:c r="O16" s="2"/>
      <x:c r="T16" s="2"/>
    </x:row>
    <x:row r="17">
      <x:c r="O17" s="2"/>
      <x:c r="T17" s="2"/>
    </x:row>
    <x:row r="18">
      <x:c r="O18" s="2"/>
      <x:c r="T18" s="2"/>
    </x:row>
    <x:row r="19">
      <x:c r="O19" s="2"/>
      <x:c r="T19" s="2"/>
    </x:row>
    <x:row r="20">
      <x:c r="O20" s="2"/>
      <x:c r="T20" s="2"/>
    </x:row>
    <x:row r="21">
      <x:c r="O21" s="2"/>
      <x:c r="T21" s="2"/>
    </x:row>
    <x:row r="22">
      <x:c r="O22" s="2"/>
      <x:c r="T22" s="2"/>
    </x:row>
    <x:row r="23">
      <x:c r="O23" s="2"/>
      <x:c r="T23" s="2"/>
    </x:row>
    <x:row r="24">
      <x:c r="O24" s="2"/>
      <x:c r="T24" s="2"/>
    </x:row>
    <x:row r="25">
      <x:c r="O25" s="2"/>
      <x:c r="T25" s="2"/>
    </x:row>
    <x:row r="26">
      <x:c r="O26" s="2"/>
      <x:c r="T26" s="2"/>
    </x:row>
    <x:row r="27">
      <x:c r="O27" s="2"/>
      <x:c r="T27" s="2"/>
    </x:row>
    <x:row r="28">
      <x:c r="O28" s="2"/>
      <x:c r="T28" s="2"/>
    </x:row>
    <x:row r="29">
      <x:c r="O29" s="2"/>
      <x:c r="T29" s="2"/>
    </x:row>
    <x:row r="30">
      <x:c r="O30" s="2"/>
      <x:c r="T30" s="2"/>
    </x:row>
    <x:row r="31">
      <x:c r="O31" s="2"/>
      <x:c r="T31" s="2"/>
    </x:row>
    <x:row r="32">
      <x:c r="O32" s="2"/>
      <x:c r="T32" s="2"/>
    </x:row>
    <x:row r="33">
      <x:c r="O33" s="2"/>
      <x:c r="T33" s="2"/>
    </x:row>
    <x:row r="34">
      <x:c r="O34" s="2"/>
      <x:c r="T34" s="2"/>
    </x:row>
    <x:row r="35">
      <x:c r="O35" s="2"/>
      <x:c r="T35" s="2"/>
    </x:row>
    <x:row r="36">
      <x:c r="O36" s="2"/>
      <x:c r="T36" s="2"/>
    </x:row>
    <x:row r="37">
      <x:c r="O37" s="2"/>
      <x:c r="T37" s="2"/>
    </x:row>
    <x:row r="38">
      <x:c r="O38" s="2"/>
      <x:c r="T38" s="2"/>
    </x:row>
    <x:row r="39">
      <x:c r="O39" s="2"/>
      <x:c r="T39" s="2"/>
    </x:row>
    <x:row r="40">
      <x:c r="O40" s="2"/>
      <x:c r="T40" s="2"/>
    </x:row>
    <x:row r="41">
      <x:c r="O41" s="2"/>
      <x:c r="T41" s="2"/>
    </x:row>
    <x:row r="42">
      <x:c r="O42" s="2"/>
      <x:c r="T42" s="2"/>
    </x:row>
    <x:row r="43">
      <x:c r="O43" s="2"/>
      <x:c r="T43" s="2"/>
    </x:row>
    <x:row r="44">
      <x:c r="O44" s="2"/>
      <x:c r="T44" s="2"/>
    </x:row>
    <x:row r="45">
      <x:c r="O45" s="2"/>
      <x:c r="T45" s="2"/>
    </x:row>
    <x:row r="46">
      <x:c r="O46" s="2"/>
      <x:c r="T46" s="2"/>
    </x:row>
    <x:row r="47">
      <x:c r="O47" s="2"/>
      <x:c r="T47" s="2"/>
    </x:row>
    <x:row r="48">
      <x:c r="O48" s="2"/>
      <x:c r="T48" s="2"/>
    </x:row>
    <x:row r="49">
      <x:c r="O49" s="2"/>
      <x:c r="T49" s="2"/>
    </x:row>
    <x:row r="50">
      <x:c r="O50" s="2"/>
      <x:c r="T50" s="2"/>
    </x:row>
    <x:row r="51">
      <x:c r="O51" s="2"/>
      <x:c r="T51" s="2"/>
    </x:row>
    <x:row r="52">
      <x:c r="O52" s="2"/>
      <x:c r="T52" s="2"/>
    </x:row>
    <x:row r="53">
      <x:c r="O53" s="2"/>
      <x:c r="T53" s="2"/>
    </x:row>
    <x:row r="54">
      <x:c r="O54" s="2"/>
      <x:c r="T54" s="2"/>
    </x:row>
    <x:row r="55">
      <x:c r="O55" s="2"/>
      <x:c r="T55" s="2"/>
    </x:row>
    <x:row r="56">
      <x:c r="O56" s="2"/>
      <x:c r="T56" s="2"/>
    </x:row>
    <x:row r="57">
      <x:c r="O57" s="2"/>
      <x:c r="T57" s="2"/>
    </x:row>
    <x:row r="58">
      <x:c r="O58" s="2"/>
      <x:c r="T58" s="2"/>
    </x:row>
    <x:row r="59">
      <x:c r="O59" s="2"/>
      <x:c r="T59" s="2"/>
    </x:row>
    <x:row r="60">
      <x:c r="O60" s="2"/>
      <x:c r="T60" s="2"/>
    </x:row>
    <x:row r="61">
      <x:c r="O61" s="2"/>
      <x:c r="T61" s="2"/>
    </x:row>
    <x:row r="62">
      <x:c r="O62" s="2"/>
      <x:c r="T62" s="2"/>
    </x:row>
    <x:row r="63">
      <x:c r="O63" s="2"/>
      <x:c r="T63" s="2"/>
    </x:row>
    <x:row r="64">
      <x:c r="O64" s="2"/>
      <x:c r="T64" s="2"/>
    </x:row>
    <x:row r="65">
      <x:c r="O65" s="2"/>
      <x:c r="T65" s="2"/>
    </x:row>
    <x:row r="66">
      <x:c r="O66" s="2"/>
      <x:c r="T66" s="2"/>
    </x:row>
    <x:row r="67">
      <x:c r="O67" s="2"/>
      <x:c r="T67" s="2"/>
    </x:row>
    <x:row r="68">
      <x:c r="O68" s="2"/>
      <x:c r="T68" s="2"/>
    </x:row>
    <x:row r="69">
      <x:c r="O69" s="2"/>
      <x:c r="T69" s="2"/>
    </x:row>
    <x:row r="70">
      <x:c r="O70" s="2"/>
      <x:c r="T70" s="2"/>
    </x:row>
    <x:row r="71">
      <x:c r="O71" s="2"/>
      <x:c r="T71" s="2"/>
    </x:row>
    <x:row r="72">
      <x:c r="O72" s="2"/>
      <x:c r="T72" s="2"/>
    </x:row>
    <x:row r="73">
      <x:c r="O73" s="2"/>
      <x:c r="T73" s="2"/>
    </x:row>
    <x:row r="74">
      <x:c r="O74" s="2"/>
      <x:c r="T74" s="2"/>
    </x:row>
    <x:row r="75">
      <x:c r="O75" s="2"/>
      <x:c r="T75" s="2"/>
    </x:row>
    <x:row r="76">
      <x:c r="O76" s="2"/>
      <x:c r="T76" s="2"/>
    </x:row>
    <x:row r="77">
      <x:c r="O77" s="2"/>
      <x:c r="T77" s="2"/>
    </x:row>
    <x:row r="78">
      <x:c r="O78" s="2"/>
      <x:c r="T78" s="2"/>
    </x:row>
    <x:row r="79">
      <x:c r="O79" s="2"/>
      <x:c r="T79" s="2"/>
    </x:row>
    <x:row r="80">
      <x:c r="O80" s="2"/>
      <x:c r="T80" s="2"/>
    </x:row>
    <x:row r="81">
      <x:c r="O81" s="2"/>
      <x:c r="T81" s="2"/>
    </x:row>
    <x:row r="82">
      <x:c r="O82" s="2"/>
      <x:c r="T82" s="2"/>
    </x:row>
    <x:row r="83">
      <x:c r="O83" s="2"/>
      <x:c r="T83" s="2"/>
    </x:row>
    <x:row r="84">
      <x:c r="O84" s="2"/>
      <x:c r="T84" s="2"/>
    </x:row>
    <x:row r="85">
      <x:c r="O85" s="2"/>
      <x:c r="T85" s="2"/>
    </x:row>
    <x:row r="86">
      <x:c r="O86" s="2"/>
      <x:c r="T86" s="2"/>
    </x:row>
    <x:row r="87">
      <x:c r="O87" s="2"/>
      <x:c r="T87" s="2"/>
    </x:row>
    <x:row r="88">
      <x:c r="O88" s="2"/>
      <x:c r="T88" s="2"/>
    </x:row>
    <x:row r="89">
      <x:c r="O89" s="2"/>
      <x:c r="T89" s="2"/>
    </x:row>
    <x:row r="90">
      <x:c r="O90" s="2"/>
      <x:c r="T90" s="2"/>
    </x:row>
    <x:row r="91">
      <x:c r="O91" s="2"/>
      <x:c r="T91" s="2"/>
    </x:row>
    <x:row r="92">
      <x:c r="O92" s="2"/>
      <x:c r="T92" s="2"/>
    </x:row>
    <x:row r="93">
      <x:c r="O93" s="2"/>
      <x:c r="T93" s="2"/>
    </x:row>
    <x:row r="94">
      <x:c r="O94" s="2"/>
      <x:c r="T94" s="2"/>
    </x:row>
    <x:row r="95">
      <x:c r="O95" s="2"/>
      <x:c r="T95" s="2"/>
    </x:row>
    <x:row r="96">
      <x:c r="O96" s="2"/>
      <x:c r="T96" s="2"/>
    </x:row>
    <x:row r="97">
      <x:c r="O97" s="2"/>
      <x:c r="T97" s="2"/>
    </x:row>
    <x:row r="98">
      <x:c r="O98" s="2"/>
      <x:c r="T98" s="2"/>
    </x:row>
    <x:row r="99">
      <x:c r="O99" s="2"/>
      <x:c r="T99" s="2"/>
    </x:row>
    <x:row r="100">
      <x:c r="O100" s="2"/>
      <x:c r="T100" s="2"/>
    </x:row>
    <x:row r="101">
      <x:c r="O101" s="2"/>
      <x:c r="T101" s="2"/>
    </x:row>
    <x:row r="102">
      <x:c r="O102" s="2"/>
      <x:c r="T102" s="2"/>
    </x:row>
    <x:row r="103">
      <x:c r="O103" s="2"/>
      <x:c r="T103" s="2"/>
    </x:row>
    <x:row r="104">
      <x:c r="O104" s="2"/>
      <x:c r="T104" s="2"/>
    </x:row>
    <x:row r="105">
      <x:c r="O105" s="2"/>
      <x:c r="T105" s="2"/>
    </x:row>
    <x:row r="106">
      <x:c r="O106" s="2"/>
      <x:c r="T106" s="2"/>
    </x:row>
    <x:row r="107">
      <x:c r="O107" s="2"/>
      <x:c r="T107" s="2"/>
    </x:row>
  </x:sheetData>
  <x:mergeCells>
    <x:mergeCell ref="A1:U1"/>
    <x:mergeCell ref="A2:U2"/>
    <x:mergeCell ref="A4:B4"/>
    <x:mergeCell ref="A5:B5"/>
    <x:mergeCell ref="D4:E4"/>
    <x:mergeCell ref="D5:E5"/>
    <x:mergeCell ref="G4:H4"/>
    <x:mergeCell ref="G5:H5"/>
    <x:mergeCell ref="J4:K4"/>
    <x:mergeCell ref="J5:K5"/>
    <x:mergeCell ref="M4:U5"/>
  </x:mergeCells>
  <x:conditionalFormatting sqref="F8:G107">
    <x:cfRule type="containsText" dxfId="33" priority="1" operator="containsText" text="Critical"/>
    <x:cfRule type="containsText" dxfId="32" priority="2" operator="containsText" text="High"/>
  </x:conditionalFormatting>
  <x:conditionalFormatting sqref="M8:M107">
    <x:cfRule type="containsText" dxfId="31" priority="5" operator="containsText" text="Open"/>
    <x:cfRule type="containsText" dxfId="30" priority="6" operator="containsText" text="In Progress"/>
    <x:cfRule type="containsText" dxfId="29" priority="7" operator="containsText" text="Ready for Retest"/>
    <x:cfRule type="containsText" dxfId="28" priority="8" operator="containsText" text="Closed"/>
  </x:conditionalFormatting>
  <x:conditionalFormatting sqref="S8:S107">
    <x:cfRule type="containsText" dxfId="27" priority="9" operator="containsText" text="Pass"/>
    <x:cfRule type="containsText" dxfId="26" priority="10" operator="containsText" text="Fail"/>
    <x:cfRule type="containsText" dxfId="25" priority="11" operator="containsText" text="Not Retested"/>
  </x:conditionalFormatting>
  <x:pageMargins left="0.7" right="0.7" top="0.75" bottom="0.75" header="0.3" footer="0.3"/>
  <x:tableParts count="1">
    <x:tablePart xmlns:r="http://schemas.openxmlformats.org/officeDocument/2006/relationships" r:id="R28bb1f0be27c4482"/>
  </x:tableParts>
</x:worksheet>
</file>

<file path=xl/worksheets/sheet2.xml><?xml version="1.0" encoding="utf-8"?>
<x:worksheet xmlns:x="http://schemas.openxmlformats.org/spreadsheetml/2006/main">
  <x:sheetViews>
    <x:sheetView showGridLines="0" workbookViewId="0"/>
  </x:sheetViews>
  <x:sheetFormatPr defaultRowHeight="14"/>
  <x:cols>
    <x:col min="1" max="1" width="24" customWidth="1"/>
    <x:col min="2" max="2" width="38" customWidth="1"/>
    <x:col min="3" max="3" width="20" customWidth="1"/>
    <x:col min="4" max="4" width="22" customWidth="1"/>
    <x:col min="5" max="5" width="20" customWidth="1"/>
  </x:cols>
  <x:sheetData>
    <x:row r="1">
      <x:c r="A1" s="8" t="s">
        <x:v>93</x:v>
      </x:c>
      <x:c r="B1" s="9" t="s">
        <x:v>94</x:v>
      </x:c>
      <x:c r="C1" s="9" t="s">
        <x:v>95</x:v>
      </x:c>
      <x:c r="D1" s="9" t="s">
        <x:v>19</x:v>
      </x:c>
      <x:c r="E1" s="10" t="s">
        <x:v>25</x:v>
      </x:c>
    </x:row>
    <x:row r="2">
      <x:c r="A2" s="3" t="s">
        <x:v>96</x:v>
      </x:c>
      <x:c r="B2" s="1" t="s">
        <x:v>97</x:v>
      </x:c>
      <x:c r="C2" s="1" t="s">
        <x:v>98</x:v>
      </x:c>
      <x:c r="D2" s="1" t="s">
        <x:v>3</x:v>
      </x:c>
      <x:c r="E2" s="4" t="s">
        <x:v>42</x:v>
      </x:c>
    </x:row>
    <x:row r="3">
      <x:c r="A3" s="3" t="s">
        <x:v>99</x:v>
      </x:c>
      <x:c r="B3" s="1" t="s">
        <x:v>100</x:v>
      </x:c>
      <x:c r="C3" s="1" t="s">
        <x:v>34</x:v>
      </x:c>
      <x:c r="D3" s="1" t="s">
        <x:v>101</x:v>
      </x:c>
      <x:c r="E3" s="4" t="s">
        <x:v>102</x:v>
      </x:c>
    </x:row>
    <x:row r="4">
      <x:c r="A4" s="3" t="s">
        <x:v>30</x:v>
      </x:c>
      <x:c r="B4" s="1" t="s">
        <x:v>31</x:v>
      </x:c>
      <x:c r="C4" s="1" t="s">
        <x:v>33</x:v>
      </x:c>
      <x:c r="D4" s="1" t="s">
        <x:v>103</x:v>
      </x:c>
      <x:c r="E4" s="4" t="s">
        <x:v>104</x:v>
      </x:c>
    </x:row>
    <x:row r="5">
      <x:c r="A5" s="3" t="s">
        <x:v>54</x:v>
      </x:c>
      <x:c r="B5" s="1" t="s">
        <x:v>105</x:v>
      </x:c>
      <x:c r="C5" s="1" t="s">
        <x:v>106</x:v>
      </x:c>
      <x:c r="D5" s="1" t="s">
        <x:v>5</x:v>
      </x:c>
      <x:c r="E5" s="4" t="s">
        <x:v>107</x:v>
      </x:c>
    </x:row>
    <x:row r="6">
      <x:c r="A6" s="3" t="s">
        <x:v>108</x:v>
      </x:c>
      <x:c r="B6" s="1" t="s">
        <x:v>109</x:v>
      </x:c>
      <x:c r="C6" s="1"/>
      <x:c r="D6" s="1" t="s">
        <x:v>110</x:v>
      </x:c>
      <x:c r="E6" s="4"/>
    </x:row>
    <x:row r="7">
      <x:c r="A7" s="3" t="s">
        <x:v>73</x:v>
      </x:c>
      <x:c r="B7" s="1" t="s">
        <x:v>111</x:v>
      </x:c>
      <x:c r="C7" s="1"/>
      <x:c r="D7" s="1" t="s">
        <x:v>112</x:v>
      </x:c>
      <x:c r="E7" s="4"/>
    </x:row>
    <x:row r="8">
      <x:c r="A8" s="3" t="s">
        <x:v>113</x:v>
      </x:c>
      <x:c r="B8" s="1" t="s">
        <x:v>114</x:v>
      </x:c>
      <x:c r="C8" s="1"/>
      <x:c r="D8" s="1" t="s">
        <x:v>115</x:v>
      </x:c>
      <x:c r="E8" s="4"/>
    </x:row>
    <x:row r="9">
      <x:c r="A9" s="3" t="s">
        <x:v>84</x:v>
      </x:c>
      <x:c r="B9" s="1" t="s">
        <x:v>116</x:v>
      </x:c>
      <x:c r="C9" s="1"/>
      <x:c r="D9" s="1" t="s">
        <x:v>117</x:v>
      </x:c>
      <x:c r="E9" s="4"/>
    </x:row>
    <x:row r="10">
      <x:c r="A10" s="3" t="s">
        <x:v>118</x:v>
      </x:c>
      <x:c r="B10" s="1" t="s">
        <x:v>55</x:v>
      </x:c>
      <x:c r="C10" s="1"/>
      <x:c r="D10" s="1"/>
      <x:c r="E10" s="4"/>
    </x:row>
    <x:row r="11">
      <x:c r="A11" s="3" t="s">
        <x:v>119</x:v>
      </x:c>
      <x:c r="B11" s="1" t="s">
        <x:v>65</x:v>
      </x:c>
      <x:c r="C11" s="1"/>
      <x:c r="D11" s="1"/>
      <x:c r="E11" s="4"/>
    </x:row>
    <x:row r="12">
      <x:c r="A12" s="3"/>
      <x:c r="B12" s="1" t="s">
        <x:v>74</x:v>
      </x:c>
      <x:c r="C12" s="1"/>
      <x:c r="D12" s="1"/>
      <x:c r="E12" s="4"/>
    </x:row>
    <x:row r="13">
      <x:c r="A13" s="5"/>
      <x:c r="B13" s="6" t="s">
        <x:v>85</x:v>
      </x:c>
      <x:c r="C13" s="6"/>
      <x:c r="D13" s="6"/>
      <x:c r="E13" s="7"/>
    </x:row>
  </x:sheetData>
  <x:pageMargins left="0.7" right="0.7" top="0.75" bottom="0.75" header="0.3" footer="0.3"/>
</x:worksheet>
</file>