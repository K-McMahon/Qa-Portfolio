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gmcm\OneDrive\Desktop\QA Portfolio\Qa-Portfolio\Test Cases\"/>
    </mc:Choice>
  </mc:AlternateContent>
  <xr:revisionPtr revIDLastSave="0" documentId="13_ncr:1_{AF1458F0-3BD3-4564-8460-5C64A2073B60}" xr6:coauthVersionLast="47" xr6:coauthVersionMax="47" xr10:uidLastSave="{00000000-0000-0000-0000-000000000000}"/>
  <bookViews>
    <workbookView xWindow="7750" yWindow="3790" windowWidth="28800" windowHeight="15370" xr2:uid="{00000000-000D-0000-FFFF-FFFF00000000}"/>
  </bookViews>
  <sheets>
    <sheet name="Test Cases" sheetId="1" r:id="rId1"/>
    <sheet name="Notes" sheetId="2" r:id="rId2"/>
    <sheet name="List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G5" i="1"/>
  <c r="D5" i="1"/>
  <c r="A5" i="1"/>
</calcChain>
</file>

<file path=xl/sharedStrings.xml><?xml version="1.0" encoding="utf-8"?>
<sst xmlns="http://schemas.openxmlformats.org/spreadsheetml/2006/main" count="252" uniqueCount="167">
  <si>
    <t>Automation Exercise — Functional Test Cases</t>
  </si>
  <si>
    <t>Project: Automation Exercise Ecommerce Website QA Testing | Scope: Signup &amp; Login | Prepared for QA Portfolio</t>
  </si>
  <si>
    <t>Total Cases</t>
  </si>
  <si>
    <t>Passed</t>
  </si>
  <si>
    <t>Failed</t>
  </si>
  <si>
    <t>Not Run</t>
  </si>
  <si>
    <t xml:space="preserve">Notes: </t>
  </si>
  <si>
    <t>Test Case ID</t>
  </si>
  <si>
    <t>Module</t>
  </si>
  <si>
    <t>Test Type</t>
  </si>
  <si>
    <t>Priority</t>
  </si>
  <si>
    <t>Title / Objective</t>
  </si>
  <si>
    <t>Preconditions</t>
  </si>
  <si>
    <t>Test Data</t>
  </si>
  <si>
    <t>Test Steps</t>
  </si>
  <si>
    <t>Expected Result</t>
  </si>
  <si>
    <t>Actual Result</t>
  </si>
  <si>
    <t>Status</t>
  </si>
  <si>
    <t>Executed By</t>
  </si>
  <si>
    <t>Execution Date</t>
  </si>
  <si>
    <t>Evidence / Screenshot</t>
  </si>
  <si>
    <t>Defect ID</t>
  </si>
  <si>
    <t>Notes</t>
  </si>
  <si>
    <t>AE-SIGNUP-001</t>
  </si>
  <si>
    <t>Signup</t>
  </si>
  <si>
    <t>Functional — Positive</t>
  </si>
  <si>
    <t>High</t>
  </si>
  <si>
    <t>Verify a new user can begin registration using a valid name and unregistered email address</t>
  </si>
  <si>
    <t>1. Automation Exercise website is available.
2. User is not logged in.
3. Email address has not already been registered.</t>
  </si>
  <si>
    <t>Name: Kevin Tester
Email: KevinTheQA@gmail.com</t>
  </si>
  <si>
    <t>1. Open the Automation Exercise website.
2. Click Signup / Login.
3. Enter a valid name under New User Signup.
4. Enter an unregistered email address.
5. Click Signup.</t>
  </si>
  <si>
    <t>The Enter Account Information page is displayed and the user can continue registration.</t>
  </si>
  <si>
    <t>Enter Account Information page is displayed and the user can continue registration.</t>
  </si>
  <si>
    <t>Pass</t>
  </si>
  <si>
    <t>KM</t>
  </si>
  <si>
    <t>..\Screenshots\AE-SIGNUP-001.png</t>
  </si>
  <si>
    <t>NA</t>
  </si>
  <si>
    <t>Use a dedicated test email. Remove or blur personal information before publishing evidence.</t>
  </si>
  <si>
    <t>AE-SIGNUP-002</t>
  </si>
  <si>
    <t>Critical</t>
  </si>
  <si>
    <t>Verify a new user can create an account using valid required information</t>
  </si>
  <si>
    <t>1. AE-SIGNUP-001 has passed.
2. Enter Account Information page is displayed.
3. User is not logged in.</t>
  </si>
  <si>
    <t>Valid values for all required fields:
Title, password, date of birth, first name, last name, address, country, state, city, ZIP code, and mobile number.</t>
  </si>
  <si>
    <t>1. Select a title.
2. Enter a valid password.
3. Select a date of birth.
4. Enter a valid first name.
5. Enter a valid last name.
6. Enter a valid street address.
7. Select a country.
8. Enter a valid state.
9. Enter a valid city.
10. Enter a valid ZIP code.
11. Enter a valid mobile number.
12. Click Create Account.</t>
  </si>
  <si>
    <t>The account is created successfully and the Account Created confirmation page is displayed.</t>
  </si>
  <si>
    <t>Account is created successfully and the Account Created confirmation page is displayed.</t>
  </si>
  <si>
    <t>..\Screenshots\AE-SIGNUP-002.png</t>
  </si>
  <si>
    <t>Newsletter and partner offer checkboxes are optional. Do not store the password in this workbook.</t>
  </si>
  <si>
    <t>AE-SIGNUP-003</t>
  </si>
  <si>
    <t>Functional — Negative</t>
  </si>
  <si>
    <t>Verify that registration is prevented when a user enters invalid email address</t>
  </si>
  <si>
    <t xml:space="preserve">1. Automation Exercise website is available.
2. User is not logged in.
 </t>
  </si>
  <si>
    <t>Name: Kevin Test
Email: Any invalid email format</t>
  </si>
  <si>
    <t>1. Open the Automation Exercise website.
2. Click Signup / Login.
3. Enter a name under New User Signup.
4. Enter an invalid email address.
5. Click Signup.</t>
  </si>
  <si>
    <t>Account creation should fail and user should be prompted with an error</t>
  </si>
  <si>
    <t xml:space="preserve">Account creation failed and was prompted with an error </t>
  </si>
  <si>
    <t>..\Screenshots\AE-SIGNUP-003.png</t>
  </si>
  <si>
    <t>Leaving out the @ in the format produces a 'Missing @' error</t>
  </si>
  <si>
    <t>AE-SIGNUP-004</t>
  </si>
  <si>
    <t>Verify that account creation is prevented when required fields are left blank</t>
  </si>
  <si>
    <t>Leave any required field marked with '*' blank.</t>
  </si>
  <si>
    <t xml:space="preserve">1. Select a title.
2. Leave all fields or any marked with '*' blank
3. Click Create Account
</t>
  </si>
  <si>
    <t>..\Screenshots\AE-SIGNUP-004.png</t>
  </si>
  <si>
    <t>For better traceability user should test each required field individually.</t>
  </si>
  <si>
    <t>AE-LOGIN-001</t>
  </si>
  <si>
    <t>Login</t>
  </si>
  <si>
    <t>Verify that a registered user can login using valid credentials</t>
  </si>
  <si>
    <t>1. The Automation Exercise website is available.
2. The user has an active registered account.
3. The user is logged out.
4. The Signup / Login page is displayed.</t>
  </si>
  <si>
    <t>Name: Kevin Tester
Email: KevinTheQA@gmail.com
Password: ********</t>
  </si>
  <si>
    <t>1. Open the Automation Exercise website.
2. Click Signup / Login.
3. Enter valid email address in the Login to your account section.
4. Enter the correct password.
5. Click Login.</t>
  </si>
  <si>
    <t>User is authenticated successfully and redirected to the homepage. The "Logged in as [username]" indicator is displayed</t>
  </si>
  <si>
    <t>User was authenticated successfully and redirected to the homepage. The "Logged in as [username]" indicator was displayed</t>
  </si>
  <si>
    <t>..\Screenshots\AE-LOGIN-001.png</t>
  </si>
  <si>
    <t>Account password is not provided in the workbook or screenshot</t>
  </si>
  <si>
    <t>AE-LOGIN-002</t>
  </si>
  <si>
    <t>Security — Negative</t>
  </si>
  <si>
    <t>Verify that the login form rejects SQL injection input without authenticating the user</t>
  </si>
  <si>
    <t>1. The Automation Exercise website is available.
2. The user is logged out.
3. The Signup / Login page is displayed.</t>
  </si>
  <si>
    <r>
      <rPr>
        <sz val="409.55"/>
        <color rgb="FF1F2937"/>
        <rFont val="Carlito"/>
      </rPr>
      <t>Email:</t>
    </r>
    <r>
      <rPr>
        <sz val="409.55"/>
        <color rgb="FF1F2937"/>
        <rFont val="Carlito"/>
      </rPr>
      <t xml:space="preserve"> '</t>
    </r>
    <r>
      <rPr>
        <sz val="409.55"/>
        <color rgb="FF1F2937"/>
        <rFont val="Carlito"/>
      </rPr>
      <t xml:space="preserve"> OR </t>
    </r>
    <r>
      <rPr>
        <sz val="409.55"/>
        <color rgb="FF1F2937"/>
        <rFont val="Carlito"/>
      </rPr>
      <t xml:space="preserve">'1'='1' </t>
    </r>
    <r>
      <rPr>
        <sz val="409.55"/>
        <color rgb="FF1F2937"/>
        <rFont val="Carlito"/>
      </rPr>
      <t>OR</t>
    </r>
    <r>
      <rPr>
        <sz val="409.55"/>
        <color rgb="FF1F2937"/>
        <rFont val="Carlito"/>
      </rPr>
      <t xml:space="preserve"> --</t>
    </r>
    <r>
      <rPr>
        <sz val="409.55"/>
        <color rgb="FF1F2937"/>
        <rFont val="Carlito"/>
      </rPr>
      <t xml:space="preserve">
Password: Use a harmless test value</t>
    </r>
  </si>
  <si>
    <t>1. Open the Automation Exercise website.
2. Click Signup / Login.
3. Enter the SQL injection test input in the email field.
4. Enter a harmless value in the password field.
5. Click Login.</t>
  </si>
  <si>
    <t xml:space="preserve">Login attempt is rejected and the user remains unauthenticated. The website displays a safe validation or login error without exposing any database details or crashing. </t>
  </si>
  <si>
    <t>Login attempt was rejected. Website displayed an error without explosing any database details or crashing.</t>
  </si>
  <si>
    <t>..\Screenshots\AE-LOGIN-002.png</t>
  </si>
  <si>
    <t>test input contains 3 common SQL injection elements.</t>
  </si>
  <si>
    <t>AE-LOGIN-003</t>
  </si>
  <si>
    <t>Verify that login is rejected when a registered email address is entered with an incorrect password</t>
  </si>
  <si>
    <t>Email: KevinTheQA@gmail.com
Password: Incorrect test password</t>
  </si>
  <si>
    <t>1. Open the Automation Exercise website.
2. Click Signup / Login.
3. Enter a registered email address in the email field.
4. Enter an incorrect password.
5. Click Login.</t>
  </si>
  <si>
    <t>Login attempt is rejected , the user remains unauthenticated, and the user is presented with a clear error message indicating that the email or password is incorrect. No account information exposed</t>
  </si>
  <si>
    <t>Login attempt was rejected. Website displayed a clear error indicating the email or password was incorrect. No account information was exposed.</t>
  </si>
  <si>
    <t>..\Screenshots\AE-LOGIN-003.png</t>
  </si>
  <si>
    <t>Verified authentication handling when the email is valid, but the password doesn't match</t>
  </si>
  <si>
    <t>AE-LOGOUT-001</t>
  </si>
  <si>
    <t>Logout</t>
  </si>
  <si>
    <t>Verify that an authenticated user can successfully logout</t>
  </si>
  <si>
    <t>1. The Automation Exercise website is available.
2. The user has an active registered account.
3. The user is successfully logged in.
4. The “Logged in as [username]” indicator is displayed.</t>
  </si>
  <si>
    <t>Email: KevinTheQA@gmail.com
Password: *******</t>
  </si>
  <si>
    <t>1. Open the Automation Exercise website.
2. Click Signup / Login.
3. Enter a registered test email address.
4. Enter the correct password.
5. Click Login.
6. Verify that “Logged in as [username]” is displayed.
7. Click Logout in the navigation menu.
8. Observe the page displayed after logout.
9. Click the browser’s Back button and check whether authenticated content is accessible.</t>
  </si>
  <si>
    <t>User logs in successfully and can then log out. After logout, the Signup / Login page is displayed, User information is removed, and using the browser's 'Back' button does not restore authenticated access.</t>
  </si>
  <si>
    <t>The first logout redirected the user to the Signup / Login page. After clicking the browser’s Back button, the previous page displayed “Logged in as Kevin Tester” and the Logout option. Clicking Logout again produced an unhandled KeyError at /logout and displayed a Django debug page containing internal application and session information.</t>
  </si>
  <si>
    <t>Fail</t>
  </si>
  <si>
    <t>..\Screenshots\AE-LOGOUT-001.png</t>
  </si>
  <si>
    <t>AE-BUG-001
AE-BUG-002</t>
  </si>
  <si>
    <t xml:space="preserve">Further verification is required to determine whether this is only a cached page or whether the authenticated session remains active. </t>
  </si>
  <si>
    <t>AE-ACCOUNT-001</t>
  </si>
  <si>
    <t>Account Management</t>
  </si>
  <si>
    <t>Verify that an authenticated user can permanently delete their account</t>
  </si>
  <si>
    <t>1. The Automation Exercise website is available.
2. An active disposable test account exists.
3. The user is logged out.
4. The test account is approved for permanent deletion.</t>
  </si>
  <si>
    <t>1. Open the Automation Exercise website.
2. Click Signup / Login.
3. Enter the registered test email address.
4. Enter the correct password.
5. Click Login.
6. Verify that “Logged in as [username]” is displayed.
7. Click Delete Account.
8. Complete any confirmation step displayed by the application.
9. Verify the account-deletion confirmation.
10. Click Continue, if available.
11. Return to Signup / Login.
12. Attempt to log in using the deleted account’s credentials.</t>
  </si>
  <si>
    <t>The account is deleted successfully and an “Account Deleted” confirmation is displayed. After deletion, the user is logged out, the deleted account can no longer be used to log in, and the website does not expose errors or previously authenticated information.</t>
  </si>
  <si>
    <t>The account was deleted successfully and an "Account Deleted" Confirmation is displayed. After deletion, the user was logged out, the deleted account can no longer be used to log in, and the website does not expose error or previously authenticated information.</t>
  </si>
  <si>
    <t>..\Screenshots\AE-ACCOUNT-001.png</t>
  </si>
  <si>
    <t>Screenshot is post deletion, upon login attempt with previously authenticated credentials.</t>
  </si>
  <si>
    <t>AE-ACCOUNT-002</t>
  </si>
  <si>
    <t>Verify that a registered account remains active and accessible after the user logs out</t>
  </si>
  <si>
    <t>1. The Automation Exercise website is available.
2. The user has an active registered test account.
3. The account has not been deleted.
4. The user is logged out.</t>
  </si>
  <si>
    <t>1. Open the Automation Exercise website.
2. Click Signup / Login.
3. Enter the registered test email address.
4. Enter the correct password.
5. Click Login.
6. Verify that “Logged in as [username]” is displayed.
7. Click Logout.
8. Verify that the Signup / Login page is displayed.
9. Close the browser tab.
10. Open the Automation Exercise website in a new browser tab.
11. Click Signup / Login.
12. Enter the same registered test email address.
13. Enter the correct password.
14. Click Login.
15. Verify that “Logged in as [username]” is displayed again.</t>
  </si>
  <si>
    <t>The user logs in successfully during both sessions. Logging out ends the first session without deleting or modifying the account, and the same valid credentials provide access during the second session.</t>
  </si>
  <si>
    <t>..\Screenshots\AE-ACCOUNT-002.png</t>
  </si>
  <si>
    <t xml:space="preserve">Screenshot is displaying a successful login on second attempt, after a logout and tab was closed. </t>
  </si>
  <si>
    <t>Test Case Workbook [Notes]</t>
  </si>
  <si>
    <t>Execution Workflow</t>
  </si>
  <si>
    <t>1. Review the test case before execution and confirm its preconditions.
2. Use controlled, non-sensitive test data.
3. Follow the numbered steps exactly and compare the observed behavior with the expected result.
4. Record the Actual Result in objective language; never copy the Expected Result without observing it with your own eyes.
5. Select Pass, Fail, Blocked, or Retest / add the executor, date, and evidence.
6. If the test fails, create a defect report and enter its ID in the Defect ID column.</t>
  </si>
  <si>
    <t>Field</t>
  </si>
  <si>
    <t>Required?</t>
  </si>
  <si>
    <t>Industry Use</t>
  </si>
  <si>
    <t>Entry Guidance</t>
  </si>
  <si>
    <t>Yes</t>
  </si>
  <si>
    <t>Unique traceable identifier</t>
  </si>
  <si>
    <t>Use project-feature-sequence, such as AE-SIGNUP-003.</t>
  </si>
  <si>
    <t>Feature grouping and reporting</t>
  </si>
  <si>
    <t>Select the feature being tested.</t>
  </si>
  <si>
    <t>Classifies testing approach</t>
  </si>
  <si>
    <t>Choose positive/negative functional, smoke, regression, or exploratory.</t>
  </si>
  <si>
    <t>Execution importance</t>
  </si>
  <si>
    <t>Critical for core business flow; High, Medium, or Low for decreasing urgency.</t>
  </si>
  <si>
    <t>Required starting state</t>
  </si>
  <si>
    <t>List accounts, navigation state, dependencies, and environment conditions.</t>
  </si>
  <si>
    <t>When needed</t>
  </si>
  <si>
    <t>Repeatable inputs</t>
  </si>
  <si>
    <t>Describe safe test values; never store real passwords or personal data.</t>
  </si>
  <si>
    <t>Repeatable execution procedure</t>
  </si>
  <si>
    <t>Use numbered, atomic actions in the order performed.</t>
  </si>
  <si>
    <t>Pass/fail oracle</t>
  </si>
  <si>
    <t>State one clear, observable outcome.</t>
  </si>
  <si>
    <t>After execution</t>
  </si>
  <si>
    <t>Execution evidence</t>
  </si>
  <si>
    <t>Describe what occurred, including messages and unexpected behavior.</t>
  </si>
  <si>
    <t>Execution outcome</t>
  </si>
  <si>
    <t>Use the dropdown. Not Run is the correct initial value.</t>
  </si>
  <si>
    <t>Evidence / Defect ID</t>
  </si>
  <si>
    <t>When applicable</t>
  </si>
  <si>
    <t>Audit trail</t>
  </si>
  <si>
    <t>Link sanitized evidence and cross-reference any defect report.</t>
  </si>
  <si>
    <t>Status Definition</t>
  </si>
  <si>
    <t>Test has not been executed.</t>
  </si>
  <si>
    <t>Actual result matches the expected result.</t>
  </si>
  <si>
    <t>Medium</t>
  </si>
  <si>
    <t>Regression</t>
  </si>
  <si>
    <t>Actual result does not match the expected result.</t>
  </si>
  <si>
    <t>Blocked</t>
  </si>
  <si>
    <t>Low</t>
  </si>
  <si>
    <t>Smoke</t>
  </si>
  <si>
    <t>Execution cannot proceed because of a dependency or environment issue.</t>
  </si>
  <si>
    <t>Retest</t>
  </si>
  <si>
    <t>Exploratory</t>
  </si>
  <si>
    <t>Previously failed test is ready to be executed again after a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</si>
</sst>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b/>
      <sz val="18"/>
      <color rgb="FFFFFFFF"/>
      <name val="Carlito"/>
    </font>
    <font>
      <i/>
      <sz val="10"/>
      <color rgb="FF1F2937"/>
      <name val="Carlito"/>
    </font>
    <font>
      <sz val="11"/>
      <color rgb="FF1F2937"/>
      <name val="Carlito"/>
    </font>
    <font>
      <b/>
      <sz val="10"/>
      <color rgb="FF17365D"/>
      <name val="Carlito"/>
    </font>
    <font>
      <b/>
      <sz val="15"/>
      <color rgb="FF17365D"/>
      <name val="Carlito"/>
    </font>
    <font>
      <i/>
      <sz val="10"/>
      <color rgb="FF7F6000"/>
      <name val="Carlito"/>
    </font>
    <font>
      <b/>
      <sz val="10"/>
      <color rgb="FFFFFFFF"/>
      <name val="Carlito"/>
    </font>
    <font>
      <sz val="10"/>
      <color rgb="FF1F2937"/>
      <name val="Carlito"/>
    </font>
    <font>
      <b/>
      <sz val="12"/>
      <color rgb="FFFFFFFF"/>
      <name val="Carlito"/>
    </font>
    <font>
      <sz val="11"/>
      <color theme="10"/>
      <name val="Carlito"/>
    </font>
    <font>
      <sz val="409.55"/>
      <color rgb="FF1F2937"/>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F4F6F8"/>
      </patternFill>
    </fill>
    <fill>
      <patternFill patternType="solid">
        <fgColor rgb="FFFFF2CC"/>
      </patternFill>
    </fill>
    <fill>
      <patternFill patternType="solid">
        <fgColor rgb="FF2F75B5"/>
      </patternFill>
    </fill>
    <fill>
      <patternFill patternType="solid">
        <fgColor rgb="FFEAF3F8"/>
      </patternFill>
    </fill>
  </fills>
  <borders count="24">
    <border>
      <left/>
      <right/>
      <top/>
      <bottom/>
      <diagonal/>
    </border>
    <border>
      <left style="thin">
        <color rgb="FFC9D2DC"/>
      </left>
      <right/>
      <top style="thin">
        <color rgb="FFC9D2DC"/>
      </top>
      <bottom/>
      <diagonal/>
    </border>
    <border>
      <left/>
      <right style="thin">
        <color rgb="FFC9D2DC"/>
      </right>
      <top style="thin">
        <color rgb="FFC9D2DC"/>
      </top>
      <bottom/>
      <diagonal/>
    </border>
    <border>
      <left style="thin">
        <color rgb="FFC9D2DC"/>
      </left>
      <right/>
      <top/>
      <bottom style="thin">
        <color rgb="FFC9D2DC"/>
      </bottom>
      <diagonal/>
    </border>
    <border>
      <left/>
      <right style="thin">
        <color rgb="FFC9D2DC"/>
      </right>
      <top/>
      <bottom style="thin">
        <color rgb="FFC9D2DC"/>
      </bottom>
      <diagonal/>
    </border>
    <border>
      <left style="thin">
        <color rgb="FFD6B656"/>
      </left>
      <right/>
      <top style="thin">
        <color rgb="FFD6B656"/>
      </top>
      <bottom/>
      <diagonal/>
    </border>
    <border>
      <left/>
      <right/>
      <top style="thin">
        <color rgb="FFD6B656"/>
      </top>
      <bottom/>
      <diagonal/>
    </border>
    <border>
      <left/>
      <right style="thin">
        <color rgb="FFD6B656"/>
      </right>
      <top style="thin">
        <color rgb="FFD6B656"/>
      </top>
      <bottom/>
      <diagonal/>
    </border>
    <border>
      <left style="thin">
        <color rgb="FFD6B656"/>
      </left>
      <right/>
      <top/>
      <bottom style="thin">
        <color rgb="FFD6B656"/>
      </bottom>
      <diagonal/>
    </border>
    <border>
      <left/>
      <right/>
      <top/>
      <bottom style="thin">
        <color rgb="FFD6B656"/>
      </bottom>
      <diagonal/>
    </border>
    <border>
      <left/>
      <right style="thin">
        <color rgb="FFD6B656"/>
      </right>
      <top/>
      <bottom style="thin">
        <color rgb="FFD6B656"/>
      </bottom>
      <diagonal/>
    </border>
    <border>
      <left/>
      <right/>
      <top style="thin">
        <color rgb="FFC9D2DC"/>
      </top>
      <bottom/>
      <diagonal/>
    </border>
    <border>
      <left style="thin">
        <color rgb="FFC9D2DC"/>
      </left>
      <right/>
      <top/>
      <bottom/>
      <diagonal/>
    </border>
    <border>
      <left/>
      <right style="thin">
        <color rgb="FFC9D2DC"/>
      </right>
      <top/>
      <bottom/>
      <diagonal/>
    </border>
    <border>
      <left/>
      <right/>
      <top/>
      <bottom style="thin">
        <color rgb="FFC9D2DC"/>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0" fillId="0" borderId="0" applyNumberFormat="0" applyFill="0" applyBorder="0" applyAlignment="0" applyProtection="0"/>
  </cellStyleXfs>
  <cellXfs count="47">
    <xf numFmtId="0" fontId="0" fillId="0" borderId="0" xfId="0"/>
    <xf numFmtId="0" fontId="4" fillId="0" borderId="0" xfId="0" applyFont="1"/>
    <xf numFmtId="0" fontId="5" fillId="0" borderId="0" xfId="0" applyFont="1"/>
    <xf numFmtId="164" fontId="0" fillId="0" borderId="0" xfId="0" applyNumberFormat="1"/>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6" borderId="16"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8" fillId="0" borderId="19" xfId="0" applyFont="1" applyBorder="1" applyAlignment="1">
      <alignment horizontal="center" vertical="top" wrapText="1"/>
    </xf>
    <xf numFmtId="0" fontId="8" fillId="0" borderId="15" xfId="0" applyFont="1" applyBorder="1" applyAlignment="1">
      <alignment horizontal="center" vertical="top" wrapText="1"/>
    </xf>
    <xf numFmtId="0" fontId="8" fillId="0" borderId="15" xfId="0" applyFont="1" applyBorder="1" applyAlignment="1">
      <alignment vertical="top" wrapText="1"/>
    </xf>
    <xf numFmtId="164" fontId="8" fillId="0" borderId="15" xfId="0" applyNumberFormat="1" applyFont="1" applyBorder="1" applyAlignment="1">
      <alignment horizontal="center" vertical="top" wrapText="1"/>
    </xf>
    <xf numFmtId="0" fontId="8" fillId="0" borderId="20" xfId="0" applyFont="1" applyBorder="1" applyAlignment="1">
      <alignment vertical="top" wrapText="1"/>
    </xf>
    <xf numFmtId="0" fontId="8" fillId="0" borderId="21" xfId="0" applyFont="1" applyBorder="1" applyAlignment="1">
      <alignment horizontal="center" vertical="top" wrapText="1"/>
    </xf>
    <xf numFmtId="0" fontId="8" fillId="0" borderId="22" xfId="0" applyFont="1" applyBorder="1" applyAlignment="1">
      <alignment horizontal="center" vertical="top" wrapText="1"/>
    </xf>
    <xf numFmtId="0" fontId="8" fillId="0" borderId="22" xfId="0" applyFont="1" applyBorder="1" applyAlignment="1">
      <alignment vertical="top" wrapText="1"/>
    </xf>
    <xf numFmtId="164" fontId="8" fillId="0" borderId="22" xfId="0" applyNumberFormat="1" applyFont="1" applyBorder="1" applyAlignment="1">
      <alignment horizontal="center" vertical="top" wrapText="1"/>
    </xf>
    <xf numFmtId="0" fontId="8" fillId="0" borderId="23" xfId="0" applyFont="1" applyBorder="1" applyAlignment="1">
      <alignment vertical="top" wrapText="1"/>
    </xf>
    <xf numFmtId="0" fontId="10" fillId="0" borderId="15" xfId="1" applyBorder="1" applyAlignment="1">
      <alignment horizontal="center" vertical="top" wrapText="1"/>
    </xf>
    <xf numFmtId="0" fontId="10" fillId="0" borderId="15" xfId="1" applyBorder="1" applyAlignment="1">
      <alignment vertical="top"/>
    </xf>
    <xf numFmtId="0" fontId="7" fillId="6" borderId="15" xfId="0" applyFont="1" applyFill="1" applyBorder="1" applyAlignment="1">
      <alignment horizontal="center" vertical="center" wrapText="1"/>
    </xf>
    <xf numFmtId="0" fontId="4" fillId="0" borderId="15" xfId="0" applyFont="1" applyBorder="1" applyAlignment="1">
      <alignment vertical="top" wrapText="1"/>
    </xf>
    <xf numFmtId="0" fontId="10" fillId="0" borderId="22" xfId="1" applyBorder="1" applyAlignment="1">
      <alignment horizontal="center" vertical="top"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6" fillId="5" borderId="5" xfId="0" applyFont="1" applyFill="1" applyBorder="1" applyAlignment="1">
      <alignment horizontal="left" vertical="center" wrapText="1"/>
    </xf>
    <xf numFmtId="0" fontId="6" fillId="5" borderId="6" xfId="0" applyFont="1" applyFill="1" applyBorder="1" applyAlignment="1">
      <alignment horizontal="left" vertical="center" wrapText="1"/>
    </xf>
    <xf numFmtId="0" fontId="6" fillId="5" borderId="7" xfId="0" applyFont="1" applyFill="1" applyBorder="1" applyAlignment="1">
      <alignment horizontal="left" vertical="center" wrapText="1"/>
    </xf>
    <xf numFmtId="0" fontId="6" fillId="5" borderId="8" xfId="0" applyFont="1" applyFill="1" applyBorder="1" applyAlignment="1">
      <alignment horizontal="left" vertical="center" wrapText="1"/>
    </xf>
    <xf numFmtId="0" fontId="6" fillId="5" borderId="9" xfId="0" applyFont="1" applyFill="1" applyBorder="1" applyAlignment="1">
      <alignment horizontal="left" vertical="center" wrapText="1"/>
    </xf>
    <xf numFmtId="0" fontId="6" fillId="5" borderId="10" xfId="0" applyFont="1" applyFill="1" applyBorder="1" applyAlignment="1">
      <alignment horizontal="lef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9" fillId="6" borderId="0" xfId="0" applyFont="1" applyFill="1" applyAlignment="1">
      <alignment vertical="center"/>
    </xf>
    <xf numFmtId="0" fontId="3" fillId="7" borderId="1" xfId="0" applyFont="1" applyFill="1" applyBorder="1" applyAlignment="1">
      <alignment vertical="top" wrapText="1"/>
    </xf>
    <xf numFmtId="0" fontId="3" fillId="7" borderId="11" xfId="0" applyFont="1" applyFill="1" applyBorder="1" applyAlignment="1">
      <alignment vertical="top" wrapText="1"/>
    </xf>
    <xf numFmtId="0" fontId="3" fillId="7" borderId="2" xfId="0" applyFont="1" applyFill="1" applyBorder="1" applyAlignment="1">
      <alignment vertical="top" wrapText="1"/>
    </xf>
    <xf numFmtId="0" fontId="3" fillId="7" borderId="12" xfId="0" applyFont="1" applyFill="1" applyBorder="1" applyAlignment="1">
      <alignment vertical="top" wrapText="1"/>
    </xf>
    <xf numFmtId="0" fontId="3" fillId="7" borderId="0" xfId="0" applyFont="1" applyFill="1" applyAlignment="1">
      <alignment vertical="top" wrapText="1"/>
    </xf>
    <xf numFmtId="0" fontId="3" fillId="7" borderId="13" xfId="0" applyFont="1" applyFill="1" applyBorder="1" applyAlignment="1">
      <alignment vertical="top" wrapText="1"/>
    </xf>
    <xf numFmtId="0" fontId="3" fillId="7" borderId="3" xfId="0" applyFont="1" applyFill="1" applyBorder="1" applyAlignment="1">
      <alignment vertical="top" wrapText="1"/>
    </xf>
    <xf numFmtId="0" fontId="3" fillId="7" borderId="14" xfId="0" applyFont="1" applyFill="1" applyBorder="1" applyAlignment="1">
      <alignment vertical="top" wrapText="1"/>
    </xf>
    <xf numFmtId="0" fontId="3" fillId="7" borderId="4" xfId="0" applyFont="1" applyFill="1" applyBorder="1" applyAlignment="1">
      <alignment vertical="top" wrapText="1"/>
    </xf>
  </cellXfs>
  <cellStyles count="2">
    <cellStyle name="Hyperlink" xfId="1" xr:uid="{00000000-0005-0000-0000-000000000000}"/>
    <cellStyle name="Normal" xfId="0" builtinId="0"/>
  </cellStyles>
  <dxfs count="7">
    <dxf>
      <font>
        <b/>
        <color rgb="FF7F6000"/>
      </font>
      <fill>
        <patternFill>
          <bgColor rgb="FFFFF2CC"/>
        </patternFill>
      </fill>
    </dxf>
    <dxf>
      <font>
        <color rgb="FF595959"/>
      </font>
      <fill>
        <patternFill>
          <bgColor rgb="FFE7E6E6"/>
        </patternFill>
      </fill>
    </dxf>
    <dxf>
      <font>
        <b/>
        <color rgb="FF7030A0"/>
      </font>
      <fill>
        <patternFill>
          <bgColor rgb="FFE4DFEC"/>
        </patternFill>
      </fill>
    </dxf>
    <dxf>
      <font>
        <b/>
        <color rgb="FF9C0006"/>
      </font>
      <fill>
        <patternFill>
          <bgColor rgb="FFFCE4D6"/>
        </patternFill>
      </fill>
    </dxf>
    <dxf>
      <font>
        <b/>
        <color rgb="FF375623"/>
      </font>
      <fill>
        <patternFill>
          <bgColor rgb="FFE2F0D9"/>
        </patternFill>
      </fill>
    </dxf>
    <dxf>
      <font>
        <b/>
        <color rgb="FF7F6000"/>
      </font>
      <fill>
        <patternFill>
          <bgColor rgb="FFFFF2CC"/>
        </patternFill>
      </fill>
    </dxf>
    <dxf>
      <font>
        <b/>
        <color rgb="FF9C0006"/>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nctionalTestCases" displayName="FunctionalTestCases" ref="A7:P17">
  <autoFilter ref="A7:P17" xr:uid="{00000000-0009-0000-0100-000001000000}"/>
  <tableColumns count="16">
    <tableColumn id="1" xr3:uid="{00000000-0010-0000-0000-000001000000}" name="Test Case ID"/>
    <tableColumn id="2" xr3:uid="{00000000-0010-0000-0000-000002000000}" name="Module"/>
    <tableColumn id="3" xr3:uid="{00000000-0010-0000-0000-000003000000}" name="Test Type"/>
    <tableColumn id="4" xr3:uid="{00000000-0010-0000-0000-000004000000}" name="Priority"/>
    <tableColumn id="5" xr3:uid="{00000000-0010-0000-0000-000005000000}" name="Title / Objective"/>
    <tableColumn id="6" xr3:uid="{00000000-0010-0000-0000-000006000000}" name="Preconditions"/>
    <tableColumn id="7" xr3:uid="{00000000-0010-0000-0000-000007000000}" name="Test Data"/>
    <tableColumn id="8" xr3:uid="{00000000-0010-0000-0000-000008000000}" name="Test Steps"/>
    <tableColumn id="9" xr3:uid="{00000000-0010-0000-0000-000009000000}" name="Expected Result"/>
    <tableColumn id="10" xr3:uid="{00000000-0010-0000-0000-00000A000000}" name="Actual Result"/>
    <tableColumn id="11" xr3:uid="{00000000-0010-0000-0000-00000B000000}" name="Status"/>
    <tableColumn id="12" xr3:uid="{00000000-0010-0000-0000-00000C000000}" name="Executed By"/>
    <tableColumn id="13" xr3:uid="{00000000-0010-0000-0000-00000D000000}" name="Execution Date"/>
    <tableColumn id="14" xr3:uid="{00000000-0010-0000-0000-00000E000000}" name="Evidence / Screenshot"/>
    <tableColumn id="15" xr3:uid="{00000000-0010-0000-0000-00000F000000}" name="Defect ID"/>
    <tableColumn id="16" xr3:uid="{00000000-0010-0000-0000-000010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showGridLines="0" tabSelected="1" zoomScale="55" zoomScaleNormal="55" workbookViewId="0">
      <selection sqref="A1:P1"/>
    </sheetView>
  </sheetViews>
  <sheetFormatPr defaultRowHeight="14"/>
  <cols>
    <col min="1" max="1" width="18" customWidth="1"/>
    <col min="2" max="2" width="13" customWidth="1"/>
    <col min="3" max="3" width="21" customWidth="1"/>
    <col min="4" max="4" width="12" customWidth="1"/>
    <col min="5" max="5" width="38" customWidth="1"/>
    <col min="6" max="6" width="34" customWidth="1"/>
    <col min="7" max="7" width="32" customWidth="1"/>
    <col min="8" max="8" width="46" customWidth="1"/>
    <col min="9" max="9" width="36" customWidth="1"/>
    <col min="10" max="10" width="32" customWidth="1"/>
    <col min="11" max="11" width="13" customWidth="1"/>
    <col min="12" max="13" width="16" customWidth="1"/>
    <col min="14" max="14" width="30" customWidth="1"/>
    <col min="15" max="15" width="14" customWidth="1"/>
    <col min="16" max="16" width="34" customWidth="1"/>
  </cols>
  <sheetData>
    <row r="1" spans="1:16" ht="34" customHeight="1">
      <c r="A1" s="33" t="s">
        <v>0</v>
      </c>
      <c r="B1" s="33"/>
      <c r="C1" s="33"/>
      <c r="D1" s="33"/>
      <c r="E1" s="33"/>
      <c r="F1" s="33"/>
      <c r="G1" s="33"/>
      <c r="H1" s="33"/>
      <c r="I1" s="33"/>
      <c r="J1" s="33"/>
      <c r="K1" s="33"/>
      <c r="L1" s="33"/>
      <c r="M1" s="33"/>
      <c r="N1" s="33"/>
      <c r="O1" s="33"/>
      <c r="P1" s="33"/>
    </row>
    <row r="2" spans="1:16" ht="23" customHeight="1">
      <c r="A2" s="34" t="s">
        <v>1</v>
      </c>
      <c r="B2" s="34"/>
      <c r="C2" s="34"/>
      <c r="D2" s="34"/>
      <c r="E2" s="34"/>
      <c r="F2" s="34"/>
      <c r="G2" s="34"/>
      <c r="H2" s="34"/>
      <c r="I2" s="34"/>
      <c r="J2" s="34"/>
      <c r="K2" s="34"/>
      <c r="L2" s="34"/>
      <c r="M2" s="34"/>
      <c r="N2" s="34"/>
      <c r="O2" s="34"/>
      <c r="P2" s="34"/>
    </row>
    <row r="4" spans="1:16">
      <c r="A4" s="35" t="s">
        <v>2</v>
      </c>
      <c r="B4" s="36"/>
      <c r="C4" s="1"/>
      <c r="D4" s="35" t="s">
        <v>3</v>
      </c>
      <c r="E4" s="36"/>
      <c r="F4" s="1"/>
      <c r="G4" s="35" t="s">
        <v>4</v>
      </c>
      <c r="H4" s="36"/>
      <c r="I4" s="1"/>
      <c r="J4" s="35" t="s">
        <v>5</v>
      </c>
      <c r="K4" s="36"/>
      <c r="M4" s="27" t="s">
        <v>6</v>
      </c>
      <c r="N4" s="28"/>
      <c r="O4" s="28"/>
      <c r="P4" s="29"/>
    </row>
    <row r="5" spans="1:16" ht="19">
      <c r="A5" s="25">
        <f>COUNTA(A8:A107)</f>
        <v>10</v>
      </c>
      <c r="B5" s="26"/>
      <c r="C5" s="2"/>
      <c r="D5" s="25">
        <f>COUNTIF(K8:K107,"Pass")</f>
        <v>9</v>
      </c>
      <c r="E5" s="26"/>
      <c r="F5" s="2"/>
      <c r="G5" s="25">
        <f>COUNTIF(K8:K107,"Fail")</f>
        <v>1</v>
      </c>
      <c r="H5" s="26"/>
      <c r="I5" s="2"/>
      <c r="J5" s="25">
        <f>COUNTIF(K8:K107,"Not Run")</f>
        <v>0</v>
      </c>
      <c r="K5" s="26"/>
      <c r="M5" s="30"/>
      <c r="N5" s="31"/>
      <c r="O5" s="31"/>
      <c r="P5" s="32"/>
    </row>
    <row r="7" spans="1:16" ht="38" customHeight="1">
      <c r="A7" s="7" t="s">
        <v>7</v>
      </c>
      <c r="B7" s="8" t="s">
        <v>8</v>
      </c>
      <c r="C7" s="8" t="s">
        <v>9</v>
      </c>
      <c r="D7" s="8" t="s">
        <v>10</v>
      </c>
      <c r="E7" s="8" t="s">
        <v>11</v>
      </c>
      <c r="F7" s="8" t="s">
        <v>12</v>
      </c>
      <c r="G7" s="8" t="s">
        <v>13</v>
      </c>
      <c r="H7" s="8" t="s">
        <v>14</v>
      </c>
      <c r="I7" s="8" t="s">
        <v>15</v>
      </c>
      <c r="J7" s="8" t="s">
        <v>16</v>
      </c>
      <c r="K7" s="8" t="s">
        <v>17</v>
      </c>
      <c r="L7" s="8" t="s">
        <v>18</v>
      </c>
      <c r="M7" s="8" t="s">
        <v>19</v>
      </c>
      <c r="N7" s="8" t="s">
        <v>20</v>
      </c>
      <c r="O7" s="8" t="s">
        <v>21</v>
      </c>
      <c r="P7" s="9" t="s">
        <v>22</v>
      </c>
    </row>
    <row r="8" spans="1:16" ht="74" customHeight="1">
      <c r="A8" s="10" t="s">
        <v>23</v>
      </c>
      <c r="B8" s="11" t="s">
        <v>24</v>
      </c>
      <c r="C8" s="11" t="s">
        <v>25</v>
      </c>
      <c r="D8" s="11" t="s">
        <v>26</v>
      </c>
      <c r="E8" s="12" t="s">
        <v>27</v>
      </c>
      <c r="F8" s="12" t="s">
        <v>28</v>
      </c>
      <c r="G8" s="12" t="s">
        <v>29</v>
      </c>
      <c r="H8" s="12" t="s">
        <v>30</v>
      </c>
      <c r="I8" s="12" t="s">
        <v>31</v>
      </c>
      <c r="J8" s="12" t="s">
        <v>32</v>
      </c>
      <c r="K8" s="11" t="s">
        <v>33</v>
      </c>
      <c r="L8" s="11" t="s">
        <v>34</v>
      </c>
      <c r="M8" s="13">
        <v>46223</v>
      </c>
      <c r="N8" s="20" t="s">
        <v>35</v>
      </c>
      <c r="O8" s="11" t="s">
        <v>36</v>
      </c>
      <c r="P8" s="14" t="s">
        <v>37</v>
      </c>
    </row>
    <row r="9" spans="1:16" ht="155.5" customHeight="1">
      <c r="A9" s="10" t="s">
        <v>38</v>
      </c>
      <c r="B9" s="11" t="s">
        <v>24</v>
      </c>
      <c r="C9" s="11" t="s">
        <v>25</v>
      </c>
      <c r="D9" s="11" t="s">
        <v>39</v>
      </c>
      <c r="E9" s="12" t="s">
        <v>40</v>
      </c>
      <c r="F9" s="12" t="s">
        <v>41</v>
      </c>
      <c r="G9" s="12" t="s">
        <v>42</v>
      </c>
      <c r="H9" s="12" t="s">
        <v>43</v>
      </c>
      <c r="I9" s="12" t="s">
        <v>44</v>
      </c>
      <c r="J9" s="12" t="s">
        <v>45</v>
      </c>
      <c r="K9" s="11" t="s">
        <v>33</v>
      </c>
      <c r="L9" s="11" t="s">
        <v>34</v>
      </c>
      <c r="M9" s="13">
        <v>46223</v>
      </c>
      <c r="N9" s="21" t="s">
        <v>46</v>
      </c>
      <c r="O9" s="11" t="s">
        <v>36</v>
      </c>
      <c r="P9" s="14" t="s">
        <v>47</v>
      </c>
    </row>
    <row r="10" spans="1:16" ht="83" customHeight="1">
      <c r="A10" s="10" t="s">
        <v>48</v>
      </c>
      <c r="B10" s="11" t="s">
        <v>24</v>
      </c>
      <c r="C10" s="11" t="s">
        <v>49</v>
      </c>
      <c r="D10" s="11" t="s">
        <v>26</v>
      </c>
      <c r="E10" s="12" t="s">
        <v>50</v>
      </c>
      <c r="F10" s="12" t="s">
        <v>51</v>
      </c>
      <c r="G10" s="12" t="s">
        <v>52</v>
      </c>
      <c r="H10" s="12" t="s">
        <v>53</v>
      </c>
      <c r="I10" s="12" t="s">
        <v>54</v>
      </c>
      <c r="J10" s="12" t="s">
        <v>55</v>
      </c>
      <c r="K10" s="11" t="s">
        <v>33</v>
      </c>
      <c r="L10" s="11" t="s">
        <v>34</v>
      </c>
      <c r="M10" s="13">
        <v>46223</v>
      </c>
      <c r="N10" s="20" t="s">
        <v>56</v>
      </c>
      <c r="O10" s="11" t="s">
        <v>36</v>
      </c>
      <c r="P10" s="14" t="s">
        <v>57</v>
      </c>
    </row>
    <row r="11" spans="1:16" ht="60.5" customHeight="1">
      <c r="A11" s="10" t="s">
        <v>58</v>
      </c>
      <c r="B11" s="11" t="s">
        <v>24</v>
      </c>
      <c r="C11" s="11" t="s">
        <v>49</v>
      </c>
      <c r="D11" s="11" t="s">
        <v>26</v>
      </c>
      <c r="E11" s="12" t="s">
        <v>59</v>
      </c>
      <c r="F11" s="12" t="s">
        <v>41</v>
      </c>
      <c r="G11" s="12" t="s">
        <v>60</v>
      </c>
      <c r="H11" s="12" t="s">
        <v>61</v>
      </c>
      <c r="I11" s="12" t="s">
        <v>54</v>
      </c>
      <c r="J11" s="12" t="s">
        <v>55</v>
      </c>
      <c r="K11" s="11" t="s">
        <v>33</v>
      </c>
      <c r="L11" s="11" t="s">
        <v>34</v>
      </c>
      <c r="M11" s="13">
        <v>46223</v>
      </c>
      <c r="N11" s="20" t="s">
        <v>62</v>
      </c>
      <c r="O11" s="11" t="s">
        <v>36</v>
      </c>
      <c r="P11" s="14" t="s">
        <v>63</v>
      </c>
    </row>
    <row r="12" spans="1:16" ht="81.5" customHeight="1">
      <c r="A12" s="10" t="s">
        <v>64</v>
      </c>
      <c r="B12" s="11" t="s">
        <v>65</v>
      </c>
      <c r="C12" s="11" t="s">
        <v>25</v>
      </c>
      <c r="D12" s="11" t="s">
        <v>39</v>
      </c>
      <c r="E12" s="12" t="s">
        <v>66</v>
      </c>
      <c r="F12" s="12" t="s">
        <v>67</v>
      </c>
      <c r="G12" s="12" t="s">
        <v>68</v>
      </c>
      <c r="H12" s="12" t="s">
        <v>69</v>
      </c>
      <c r="I12" s="12" t="s">
        <v>70</v>
      </c>
      <c r="J12" s="12" t="s">
        <v>71</v>
      </c>
      <c r="K12" s="11" t="s">
        <v>33</v>
      </c>
      <c r="L12" s="11" t="s">
        <v>34</v>
      </c>
      <c r="M12" s="13">
        <v>46224</v>
      </c>
      <c r="N12" s="20" t="s">
        <v>72</v>
      </c>
      <c r="O12" s="11" t="s">
        <v>36</v>
      </c>
      <c r="P12" s="14" t="s">
        <v>73</v>
      </c>
    </row>
    <row r="13" spans="1:16" ht="63" customHeight="1">
      <c r="A13" s="10" t="s">
        <v>74</v>
      </c>
      <c r="B13" s="11" t="s">
        <v>65</v>
      </c>
      <c r="C13" s="11" t="s">
        <v>75</v>
      </c>
      <c r="D13" s="11" t="s">
        <v>26</v>
      </c>
      <c r="E13" s="12" t="s">
        <v>76</v>
      </c>
      <c r="F13" s="12" t="s">
        <v>77</v>
      </c>
      <c r="G13" s="12" t="s">
        <v>78</v>
      </c>
      <c r="H13" s="12" t="s">
        <v>79</v>
      </c>
      <c r="I13" s="12" t="s">
        <v>80</v>
      </c>
      <c r="J13" s="12" t="s">
        <v>81</v>
      </c>
      <c r="K13" s="11" t="s">
        <v>33</v>
      </c>
      <c r="L13" s="11" t="s">
        <v>34</v>
      </c>
      <c r="M13" s="13">
        <v>46224</v>
      </c>
      <c r="N13" s="20" t="s">
        <v>82</v>
      </c>
      <c r="O13" s="11" t="s">
        <v>36</v>
      </c>
      <c r="P13" s="14" t="s">
        <v>83</v>
      </c>
    </row>
    <row r="14" spans="1:16" ht="70.5" customHeight="1">
      <c r="A14" s="10" t="s">
        <v>84</v>
      </c>
      <c r="B14" s="11" t="s">
        <v>65</v>
      </c>
      <c r="C14" s="11" t="s">
        <v>49</v>
      </c>
      <c r="D14" s="11" t="s">
        <v>26</v>
      </c>
      <c r="E14" s="12" t="s">
        <v>85</v>
      </c>
      <c r="F14" s="12" t="s">
        <v>67</v>
      </c>
      <c r="G14" s="12" t="s">
        <v>86</v>
      </c>
      <c r="H14" s="12" t="s">
        <v>87</v>
      </c>
      <c r="I14" s="12" t="s">
        <v>88</v>
      </c>
      <c r="J14" s="12" t="s">
        <v>89</v>
      </c>
      <c r="K14" s="11" t="s">
        <v>33</v>
      </c>
      <c r="L14" s="11" t="s">
        <v>34</v>
      </c>
      <c r="M14" s="13">
        <v>46224</v>
      </c>
      <c r="N14" s="20" t="s">
        <v>90</v>
      </c>
      <c r="O14" s="11" t="s">
        <v>36</v>
      </c>
      <c r="P14" s="14" t="s">
        <v>91</v>
      </c>
    </row>
    <row r="15" spans="1:16" ht="140.5" customHeight="1">
      <c r="A15" s="10" t="s">
        <v>92</v>
      </c>
      <c r="B15" s="11" t="s">
        <v>93</v>
      </c>
      <c r="C15" s="11" t="s">
        <v>25</v>
      </c>
      <c r="D15" s="11" t="s">
        <v>26</v>
      </c>
      <c r="E15" s="12" t="s">
        <v>94</v>
      </c>
      <c r="F15" s="12" t="s">
        <v>95</v>
      </c>
      <c r="G15" s="12" t="s">
        <v>96</v>
      </c>
      <c r="H15" s="12" t="s">
        <v>97</v>
      </c>
      <c r="I15" s="12" t="s">
        <v>98</v>
      </c>
      <c r="J15" s="12" t="s">
        <v>99</v>
      </c>
      <c r="K15" s="11" t="s">
        <v>100</v>
      </c>
      <c r="L15" s="11" t="s">
        <v>34</v>
      </c>
      <c r="M15" s="13">
        <v>46232</v>
      </c>
      <c r="N15" s="20" t="s">
        <v>101</v>
      </c>
      <c r="O15" s="11" t="s">
        <v>102</v>
      </c>
      <c r="P15" s="14" t="s">
        <v>103</v>
      </c>
    </row>
    <row r="16" spans="1:16" ht="167" customHeight="1">
      <c r="A16" s="10" t="s">
        <v>104</v>
      </c>
      <c r="B16" s="11" t="s">
        <v>105</v>
      </c>
      <c r="C16" s="11" t="s">
        <v>25</v>
      </c>
      <c r="D16" s="11" t="s">
        <v>39</v>
      </c>
      <c r="E16" s="12" t="s">
        <v>106</v>
      </c>
      <c r="F16" s="12" t="s">
        <v>107</v>
      </c>
      <c r="G16" s="12" t="s">
        <v>96</v>
      </c>
      <c r="H16" s="12" t="s">
        <v>108</v>
      </c>
      <c r="I16" s="12" t="s">
        <v>109</v>
      </c>
      <c r="J16" s="12" t="s">
        <v>110</v>
      </c>
      <c r="K16" s="11" t="s">
        <v>33</v>
      </c>
      <c r="L16" s="11" t="s">
        <v>34</v>
      </c>
      <c r="M16" s="13">
        <v>46232</v>
      </c>
      <c r="N16" s="20" t="s">
        <v>111</v>
      </c>
      <c r="O16" s="11" t="s">
        <v>36</v>
      </c>
      <c r="P16" s="14" t="s">
        <v>112</v>
      </c>
    </row>
    <row r="17" spans="1:16" ht="214" customHeight="1">
      <c r="A17" s="15" t="s">
        <v>113</v>
      </c>
      <c r="B17" s="16" t="s">
        <v>105</v>
      </c>
      <c r="C17" s="16" t="s">
        <v>25</v>
      </c>
      <c r="D17" s="16" t="s">
        <v>26</v>
      </c>
      <c r="E17" s="17" t="s">
        <v>114</v>
      </c>
      <c r="F17" s="17" t="s">
        <v>115</v>
      </c>
      <c r="G17" s="12" t="s">
        <v>96</v>
      </c>
      <c r="H17" s="17" t="s">
        <v>116</v>
      </c>
      <c r="I17" s="17" t="s">
        <v>117</v>
      </c>
      <c r="J17" s="17" t="s">
        <v>117</v>
      </c>
      <c r="K17" s="16" t="s">
        <v>33</v>
      </c>
      <c r="L17" s="16" t="s">
        <v>34</v>
      </c>
      <c r="M17" s="18">
        <v>46232</v>
      </c>
      <c r="N17" s="24" t="s">
        <v>118</v>
      </c>
      <c r="O17" s="16" t="s">
        <v>36</v>
      </c>
      <c r="P17" s="19" t="s">
        <v>119</v>
      </c>
    </row>
    <row r="18" spans="1:16">
      <c r="M18" s="3"/>
    </row>
    <row r="19" spans="1:16">
      <c r="M19" s="3"/>
    </row>
    <row r="20" spans="1:16">
      <c r="M20" s="3"/>
    </row>
    <row r="21" spans="1:16">
      <c r="M21" s="3"/>
    </row>
    <row r="22" spans="1:16">
      <c r="M22" s="3"/>
    </row>
    <row r="23" spans="1:16">
      <c r="M23" s="3"/>
    </row>
    <row r="24" spans="1:16">
      <c r="M24" s="3"/>
    </row>
    <row r="25" spans="1:16">
      <c r="M25" s="3"/>
    </row>
    <row r="26" spans="1:16">
      <c r="M26" s="3"/>
    </row>
    <row r="27" spans="1:16">
      <c r="M27" s="3"/>
    </row>
    <row r="28" spans="1:16">
      <c r="M28" s="3"/>
    </row>
    <row r="29" spans="1:16">
      <c r="M29" s="3"/>
    </row>
    <row r="30" spans="1:16">
      <c r="M30" s="3"/>
    </row>
    <row r="31" spans="1:16">
      <c r="M31" s="3"/>
    </row>
    <row r="32" spans="1:16">
      <c r="M32" s="3"/>
    </row>
    <row r="33" spans="13:13">
      <c r="M33" s="3"/>
    </row>
    <row r="34" spans="13:13">
      <c r="M34" s="3"/>
    </row>
    <row r="35" spans="13:13">
      <c r="M35" s="3"/>
    </row>
    <row r="36" spans="13:13">
      <c r="M36" s="3"/>
    </row>
    <row r="37" spans="13:13">
      <c r="M37" s="3"/>
    </row>
    <row r="38" spans="13:13">
      <c r="M38" s="3"/>
    </row>
    <row r="39" spans="13:13">
      <c r="M39" s="3"/>
    </row>
    <row r="40" spans="13:13">
      <c r="M40" s="3"/>
    </row>
    <row r="41" spans="13:13">
      <c r="M41" s="3"/>
    </row>
    <row r="42" spans="13:13">
      <c r="M42" s="3"/>
    </row>
    <row r="43" spans="13:13">
      <c r="M43" s="3"/>
    </row>
    <row r="44" spans="13:13">
      <c r="M44" s="3"/>
    </row>
    <row r="45" spans="13:13">
      <c r="M45" s="3"/>
    </row>
    <row r="46" spans="13:13">
      <c r="M46" s="3"/>
    </row>
    <row r="47" spans="13:13">
      <c r="M47" s="3"/>
    </row>
    <row r="48" spans="13:13">
      <c r="M48" s="3"/>
    </row>
    <row r="49" spans="13:13">
      <c r="M49" s="3"/>
    </row>
    <row r="50" spans="13:13">
      <c r="M50" s="3"/>
    </row>
    <row r="51" spans="13:13">
      <c r="M51" s="3"/>
    </row>
    <row r="52" spans="13:13">
      <c r="M52" s="3"/>
    </row>
    <row r="53" spans="13:13">
      <c r="M53" s="3"/>
    </row>
    <row r="54" spans="13:13">
      <c r="M54" s="3"/>
    </row>
    <row r="55" spans="13:13">
      <c r="M55" s="3"/>
    </row>
    <row r="56" spans="13:13">
      <c r="M56" s="3"/>
    </row>
    <row r="57" spans="13:13">
      <c r="M57" s="3"/>
    </row>
    <row r="58" spans="13:13">
      <c r="M58" s="3"/>
    </row>
    <row r="59" spans="13:13">
      <c r="M59" s="3"/>
    </row>
    <row r="60" spans="13:13">
      <c r="M60" s="3"/>
    </row>
    <row r="61" spans="13:13">
      <c r="M61" s="3"/>
    </row>
    <row r="62" spans="13:13">
      <c r="M62" s="3"/>
    </row>
    <row r="63" spans="13:13">
      <c r="M63" s="3"/>
    </row>
    <row r="64" spans="13:13">
      <c r="M64" s="3"/>
    </row>
    <row r="65" spans="13:13">
      <c r="M65" s="3"/>
    </row>
    <row r="66" spans="13:13">
      <c r="M66" s="3"/>
    </row>
    <row r="67" spans="13:13">
      <c r="M67" s="3"/>
    </row>
    <row r="68" spans="13:13">
      <c r="M68" s="3"/>
    </row>
    <row r="69" spans="13:13">
      <c r="M69" s="3"/>
    </row>
    <row r="70" spans="13:13">
      <c r="M70" s="3"/>
    </row>
    <row r="71" spans="13:13">
      <c r="M71" s="3"/>
    </row>
    <row r="72" spans="13:13">
      <c r="M72" s="3"/>
    </row>
    <row r="73" spans="13:13">
      <c r="M73" s="3"/>
    </row>
    <row r="74" spans="13:13">
      <c r="M74" s="3"/>
    </row>
    <row r="75" spans="13:13">
      <c r="M75" s="3"/>
    </row>
    <row r="76" spans="13:13">
      <c r="M76" s="3"/>
    </row>
    <row r="77" spans="13:13">
      <c r="M77" s="3"/>
    </row>
    <row r="78" spans="13:13">
      <c r="M78" s="3"/>
    </row>
    <row r="79" spans="13:13">
      <c r="M79" s="3"/>
    </row>
    <row r="80" spans="13:13">
      <c r="M80" s="3"/>
    </row>
    <row r="81" spans="13:13">
      <c r="M81" s="3"/>
    </row>
    <row r="82" spans="13:13">
      <c r="M82" s="3"/>
    </row>
    <row r="83" spans="13:13">
      <c r="M83" s="3"/>
    </row>
    <row r="84" spans="13:13">
      <c r="M84" s="3"/>
    </row>
    <row r="85" spans="13:13">
      <c r="M85" s="3"/>
    </row>
    <row r="86" spans="13:13">
      <c r="M86" s="3"/>
    </row>
    <row r="87" spans="13:13">
      <c r="M87" s="3"/>
    </row>
    <row r="88" spans="13:13">
      <c r="M88" s="3"/>
    </row>
    <row r="89" spans="13:13">
      <c r="M89" s="3"/>
    </row>
    <row r="90" spans="13:13">
      <c r="M90" s="3"/>
    </row>
    <row r="91" spans="13:13">
      <c r="M91" s="3"/>
    </row>
    <row r="92" spans="13:13">
      <c r="M92" s="3"/>
    </row>
    <row r="93" spans="13:13">
      <c r="M93" s="3"/>
    </row>
    <row r="94" spans="13:13">
      <c r="M94" s="3"/>
    </row>
    <row r="95" spans="13:13">
      <c r="M95" s="3"/>
    </row>
    <row r="96" spans="13:13">
      <c r="M96" s="3"/>
    </row>
    <row r="97" spans="13:13">
      <c r="M97" s="3"/>
    </row>
    <row r="98" spans="13:13">
      <c r="M98" s="3"/>
    </row>
    <row r="99" spans="13:13">
      <c r="M99" s="3"/>
    </row>
    <row r="100" spans="13:13">
      <c r="M100" s="3"/>
    </row>
    <row r="101" spans="13:13">
      <c r="M101" s="3"/>
    </row>
    <row r="102" spans="13:13">
      <c r="M102" s="3"/>
    </row>
    <row r="103" spans="13:13">
      <c r="M103" s="3"/>
    </row>
    <row r="104" spans="13:13">
      <c r="M104" s="3"/>
    </row>
    <row r="105" spans="13:13">
      <c r="M105" s="3"/>
    </row>
    <row r="106" spans="13:13">
      <c r="M106" s="3"/>
    </row>
    <row r="107" spans="13:13">
      <c r="M107" s="3"/>
    </row>
  </sheetData>
  <mergeCells count="11">
    <mergeCell ref="A1:P1"/>
    <mergeCell ref="A2:P2"/>
    <mergeCell ref="A4:B4"/>
    <mergeCell ref="D4:E4"/>
    <mergeCell ref="G4:H4"/>
    <mergeCell ref="J4:K4"/>
    <mergeCell ref="A5:B5"/>
    <mergeCell ref="D5:E5"/>
    <mergeCell ref="G5:H5"/>
    <mergeCell ref="J5:K5"/>
    <mergeCell ref="M4:P5"/>
  </mergeCells>
  <conditionalFormatting sqref="D8:D107">
    <cfRule type="containsText" dxfId="6" priority="6" operator="containsText" text="Critical"/>
    <cfRule type="containsText" dxfId="5" priority="7" operator="containsText" text="High"/>
  </conditionalFormatting>
  <conditionalFormatting sqref="K8:K107">
    <cfRule type="containsText" dxfId="4" priority="1" operator="containsText" text="Pass"/>
    <cfRule type="containsText" dxfId="3" priority="2" operator="containsText" text="Fail"/>
    <cfRule type="containsText" dxfId="2" priority="3" operator="containsText" text="Blocked"/>
    <cfRule type="containsText" dxfId="1" priority="4" operator="containsText" text="Not Run"/>
    <cfRule type="containsText" dxfId="0" priority="5" operator="containsText" text="Retest"/>
  </conditionalFormatting>
  <dataValidations count="5">
    <dataValidation type="list" sqref="B8:B107" xr:uid="{00000000-0002-0000-0000-000000000000}">
      <formula1>"Signup,Login,Logout,Account Management"</formula1>
    </dataValidation>
    <dataValidation type="list" sqref="C18:C107" xr:uid="{00000000-0002-0000-0000-000001000000}">
      <formula1>"Functional — Positive,Functional — Negative,Regression,Smoke,Exploratory"</formula1>
    </dataValidation>
    <dataValidation type="list" sqref="D8:D107" xr:uid="{00000000-0002-0000-0000-000002000000}">
      <formula1>"Critical,High,Medium,Low"</formula1>
    </dataValidation>
    <dataValidation type="list" sqref="K8:K107" xr:uid="{00000000-0002-0000-0000-000003000000}">
      <formula1>"Not Run,Pass,Fail,Blocked,Retest"</formula1>
    </dataValidation>
    <dataValidation type="list" sqref="C8:C17" xr:uid="{00000000-0002-0000-0000-000004000000}">
      <formula1>"Functional — Positive,Functional — Negative,Regression,Smoke,Exploratory, Security — Negative, Security — Authentication, Security — Input Validation"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showGridLines="0" workbookViewId="0"/>
  </sheetViews>
  <sheetFormatPr defaultRowHeight="14"/>
  <cols>
    <col min="1" max="1" width="23" customWidth="1"/>
    <col min="2" max="2" width="16" customWidth="1"/>
    <col min="3" max="3" width="30" customWidth="1"/>
    <col min="4" max="4" width="52" customWidth="1"/>
    <col min="5" max="8" width="4" customWidth="1"/>
  </cols>
  <sheetData>
    <row r="1" spans="1:8" ht="34" customHeight="1">
      <c r="A1" s="33" t="s">
        <v>120</v>
      </c>
      <c r="B1" s="33"/>
      <c r="C1" s="33"/>
      <c r="D1" s="33"/>
      <c r="E1" s="33"/>
      <c r="F1" s="33"/>
      <c r="G1" s="33"/>
      <c r="H1" s="33"/>
    </row>
    <row r="3" spans="1:8" ht="15.5">
      <c r="A3" s="37" t="s">
        <v>121</v>
      </c>
      <c r="B3" s="37"/>
      <c r="C3" s="37"/>
      <c r="D3" s="37"/>
      <c r="E3" s="37"/>
      <c r="F3" s="37"/>
      <c r="G3" s="37"/>
      <c r="H3" s="37"/>
    </row>
    <row r="4" spans="1:8" ht="24" customHeight="1">
      <c r="A4" s="38" t="s">
        <v>122</v>
      </c>
      <c r="B4" s="39"/>
      <c r="C4" s="39"/>
      <c r="D4" s="39"/>
      <c r="E4" s="39"/>
      <c r="F4" s="39"/>
      <c r="G4" s="39"/>
      <c r="H4" s="40"/>
    </row>
    <row r="5" spans="1:8" ht="24" customHeight="1">
      <c r="A5" s="41"/>
      <c r="B5" s="42"/>
      <c r="C5" s="42"/>
      <c r="D5" s="42"/>
      <c r="E5" s="42"/>
      <c r="F5" s="42"/>
      <c r="G5" s="42"/>
      <c r="H5" s="43"/>
    </row>
    <row r="6" spans="1:8" ht="24" customHeight="1">
      <c r="A6" s="41"/>
      <c r="B6" s="42"/>
      <c r="C6" s="42"/>
      <c r="D6" s="42"/>
      <c r="E6" s="42"/>
      <c r="F6" s="42"/>
      <c r="G6" s="42"/>
      <c r="H6" s="43"/>
    </row>
    <row r="7" spans="1:8" ht="24" customHeight="1">
      <c r="A7" s="41"/>
      <c r="B7" s="42"/>
      <c r="C7" s="42"/>
      <c r="D7" s="42"/>
      <c r="E7" s="42"/>
      <c r="F7" s="42"/>
      <c r="G7" s="42"/>
      <c r="H7" s="43"/>
    </row>
    <row r="8" spans="1:8" ht="24" customHeight="1">
      <c r="A8" s="44"/>
      <c r="B8" s="45"/>
      <c r="C8" s="45"/>
      <c r="D8" s="45"/>
      <c r="E8" s="45"/>
      <c r="F8" s="45"/>
      <c r="G8" s="45"/>
      <c r="H8" s="46"/>
    </row>
    <row r="10" spans="1:8">
      <c r="A10" s="22" t="s">
        <v>123</v>
      </c>
      <c r="B10" s="22" t="s">
        <v>124</v>
      </c>
      <c r="C10" s="22" t="s">
        <v>125</v>
      </c>
      <c r="D10" s="22" t="s">
        <v>126</v>
      </c>
    </row>
    <row r="11" spans="1:8" ht="34" customHeight="1">
      <c r="A11" s="23" t="s">
        <v>7</v>
      </c>
      <c r="B11" s="12" t="s">
        <v>127</v>
      </c>
      <c r="C11" s="12" t="s">
        <v>128</v>
      </c>
      <c r="D11" s="12" t="s">
        <v>129</v>
      </c>
    </row>
    <row r="12" spans="1:8" ht="34" customHeight="1">
      <c r="A12" s="23" t="s">
        <v>8</v>
      </c>
      <c r="B12" s="12" t="s">
        <v>127</v>
      </c>
      <c r="C12" s="12" t="s">
        <v>130</v>
      </c>
      <c r="D12" s="12" t="s">
        <v>131</v>
      </c>
    </row>
    <row r="13" spans="1:8" ht="34" customHeight="1">
      <c r="A13" s="23" t="s">
        <v>9</v>
      </c>
      <c r="B13" s="12" t="s">
        <v>127</v>
      </c>
      <c r="C13" s="12" t="s">
        <v>132</v>
      </c>
      <c r="D13" s="12" t="s">
        <v>133</v>
      </c>
    </row>
    <row r="14" spans="1:8" ht="34" customHeight="1">
      <c r="A14" s="23" t="s">
        <v>10</v>
      </c>
      <c r="B14" s="12" t="s">
        <v>127</v>
      </c>
      <c r="C14" s="12" t="s">
        <v>134</v>
      </c>
      <c r="D14" s="12" t="s">
        <v>135</v>
      </c>
    </row>
    <row r="15" spans="1:8" ht="34" customHeight="1">
      <c r="A15" s="23" t="s">
        <v>12</v>
      </c>
      <c r="B15" s="12" t="s">
        <v>127</v>
      </c>
      <c r="C15" s="12" t="s">
        <v>136</v>
      </c>
      <c r="D15" s="12" t="s">
        <v>137</v>
      </c>
    </row>
    <row r="16" spans="1:8" ht="34" customHeight="1">
      <c r="A16" s="23" t="s">
        <v>13</v>
      </c>
      <c r="B16" s="12" t="s">
        <v>138</v>
      </c>
      <c r="C16" s="12" t="s">
        <v>139</v>
      </c>
      <c r="D16" s="12" t="s">
        <v>140</v>
      </c>
    </row>
    <row r="17" spans="1:4" ht="34" customHeight="1">
      <c r="A17" s="23" t="s">
        <v>14</v>
      </c>
      <c r="B17" s="12" t="s">
        <v>127</v>
      </c>
      <c r="C17" s="12" t="s">
        <v>141</v>
      </c>
      <c r="D17" s="12" t="s">
        <v>142</v>
      </c>
    </row>
    <row r="18" spans="1:4" ht="34" customHeight="1">
      <c r="A18" s="23" t="s">
        <v>15</v>
      </c>
      <c r="B18" s="12" t="s">
        <v>127</v>
      </c>
      <c r="C18" s="12" t="s">
        <v>143</v>
      </c>
      <c r="D18" s="12" t="s">
        <v>144</v>
      </c>
    </row>
    <row r="19" spans="1:4" ht="34" customHeight="1">
      <c r="A19" s="23" t="s">
        <v>16</v>
      </c>
      <c r="B19" s="12" t="s">
        <v>145</v>
      </c>
      <c r="C19" s="12" t="s">
        <v>146</v>
      </c>
      <c r="D19" s="12" t="s">
        <v>147</v>
      </c>
    </row>
    <row r="20" spans="1:4" ht="34" customHeight="1">
      <c r="A20" s="23" t="s">
        <v>17</v>
      </c>
      <c r="B20" s="12" t="s">
        <v>145</v>
      </c>
      <c r="C20" s="12" t="s">
        <v>148</v>
      </c>
      <c r="D20" s="12" t="s">
        <v>149</v>
      </c>
    </row>
    <row r="21" spans="1:4" ht="34" customHeight="1">
      <c r="A21" s="23" t="s">
        <v>150</v>
      </c>
      <c r="B21" s="12" t="s">
        <v>151</v>
      </c>
      <c r="C21" s="12" t="s">
        <v>152</v>
      </c>
      <c r="D21" s="12" t="s">
        <v>153</v>
      </c>
    </row>
  </sheetData>
  <mergeCells count="3">
    <mergeCell ref="A1:H1"/>
    <mergeCell ref="A3:H3"/>
    <mergeCell ref="A4: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showGridLines="0" workbookViewId="0">
      <selection activeCell="C27" sqref="C27"/>
    </sheetView>
  </sheetViews>
  <sheetFormatPr defaultRowHeight="14"/>
  <cols>
    <col min="1" max="1" width="16" customWidth="1"/>
    <col min="2" max="2" width="14" customWidth="1"/>
    <col min="3" max="3" width="24" customWidth="1"/>
    <col min="4" max="4" width="22" customWidth="1"/>
    <col min="5" max="5" width="58" customWidth="1"/>
  </cols>
  <sheetData>
    <row r="1" spans="1:5">
      <c r="A1" s="4" t="s">
        <v>17</v>
      </c>
      <c r="B1" s="5" t="s">
        <v>10</v>
      </c>
      <c r="C1" s="5" t="s">
        <v>9</v>
      </c>
      <c r="D1" s="5" t="s">
        <v>8</v>
      </c>
      <c r="E1" s="6" t="s">
        <v>154</v>
      </c>
    </row>
    <row r="2" spans="1:5" ht="30" customHeight="1">
      <c r="A2" s="12" t="s">
        <v>5</v>
      </c>
      <c r="B2" s="12" t="s">
        <v>39</v>
      </c>
      <c r="C2" s="12" t="s">
        <v>25</v>
      </c>
      <c r="D2" s="12" t="s">
        <v>24</v>
      </c>
      <c r="E2" s="12" t="s">
        <v>155</v>
      </c>
    </row>
    <row r="3" spans="1:5" ht="30" customHeight="1">
      <c r="A3" s="12" t="s">
        <v>33</v>
      </c>
      <c r="B3" s="12" t="s">
        <v>26</v>
      </c>
      <c r="C3" s="12" t="s">
        <v>49</v>
      </c>
      <c r="D3" s="12" t="s">
        <v>65</v>
      </c>
      <c r="E3" s="12" t="s">
        <v>156</v>
      </c>
    </row>
    <row r="4" spans="1:5" ht="30" customHeight="1">
      <c r="A4" s="12" t="s">
        <v>100</v>
      </c>
      <c r="B4" s="12" t="s">
        <v>157</v>
      </c>
      <c r="C4" s="12" t="s">
        <v>158</v>
      </c>
      <c r="D4" s="12" t="s">
        <v>93</v>
      </c>
      <c r="E4" s="12" t="s">
        <v>159</v>
      </c>
    </row>
    <row r="5" spans="1:5" ht="30" customHeight="1">
      <c r="A5" s="12" t="s">
        <v>160</v>
      </c>
      <c r="B5" s="12" t="s">
        <v>161</v>
      </c>
      <c r="C5" s="12" t="s">
        <v>162</v>
      </c>
      <c r="D5" s="12" t="s">
        <v>105</v>
      </c>
      <c r="E5" s="12" t="s">
        <v>163</v>
      </c>
    </row>
    <row r="6" spans="1:5" ht="30" customHeight="1">
      <c r="A6" s="12" t="s">
        <v>164</v>
      </c>
      <c r="B6" s="12"/>
      <c r="C6" s="12" t="s">
        <v>165</v>
      </c>
      <c r="D6" s="12"/>
      <c r="E6" s="12"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Notes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Kevin McMahon</cp:lastModifiedBy>
  <dcterms:modified xsi:type="dcterms:W3CDTF">2026-07-30T02:03:36Z</dcterms:modified>
</cp:coreProperties>
</file>